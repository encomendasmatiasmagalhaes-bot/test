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4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eLivro4"/>
  <mc:AlternateContent xmlns:mc="http://schemas.openxmlformats.org/markup-compatibility/2006">
    <mc:Choice Requires="x15">
      <x15ac:absPath xmlns:x15ac="http://schemas.microsoft.com/office/spreadsheetml/2010/11/ac" url="\\F25135\c\Arquivo farmácia\Campanhas\"/>
    </mc:Choice>
  </mc:AlternateContent>
  <xr:revisionPtr revIDLastSave="0" documentId="13_ncr:1_{B90873A7-D0FE-4AD5-B209-DFC43B6C6134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Dashboard" sheetId="1" r:id="rId1"/>
    <sheet name="Gestão" sheetId="2" r:id="rId2"/>
    <sheet name="Banner" sheetId="3" r:id="rId3"/>
    <sheet name="Histórico" sheetId="4" r:id="rId4"/>
    <sheet name="Referências" sheetId="5" r:id="rId5"/>
    <sheet name="VBA_Código" sheetId="6" r:id="rId6"/>
  </sheets>
  <functionGroups builtInGroupCount="19"/>
  <definedNames>
    <definedName name="_xlnm._FilterDatabase" localSheetId="1" hidden="1">Gestão!$A$1:$X$21</definedName>
    <definedName name="_xlnm.Print_Area" localSheetId="2">Banner!$A$1:$L$6</definedName>
    <definedName name="_xlnm.Print_Area" localSheetId="0">Dashboard!$A$1:$K$37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13" i="4" l="1"/>
  <c r="G13" i="4"/>
  <c r="D13" i="4"/>
  <c r="A13" i="4"/>
  <c r="E5" i="1"/>
  <c r="B5" i="1"/>
  <c r="U21" i="2"/>
  <c r="F21" i="2"/>
  <c r="U20" i="2"/>
  <c r="F20" i="2"/>
  <c r="U19" i="2"/>
  <c r="F19" i="2"/>
  <c r="U18" i="2"/>
  <c r="F18" i="2"/>
  <c r="U17" i="2"/>
  <c r="F17" i="2"/>
  <c r="U16" i="2"/>
  <c r="F16" i="2"/>
  <c r="U15" i="2"/>
  <c r="F15" i="2"/>
  <c r="U14" i="2"/>
  <c r="F14" i="2"/>
  <c r="U13" i="2"/>
  <c r="F13" i="2"/>
  <c r="U12" i="2"/>
  <c r="F12" i="2"/>
  <c r="U11" i="2"/>
  <c r="F11" i="2"/>
  <c r="U10" i="2"/>
  <c r="F10" i="2"/>
  <c r="U9" i="2"/>
  <c r="F9" i="2"/>
  <c r="U8" i="2"/>
  <c r="F8" i="2"/>
  <c r="U7" i="2"/>
  <c r="F7" i="2"/>
  <c r="U6" i="2"/>
  <c r="F6" i="2"/>
  <c r="U5" i="2"/>
  <c r="F5" i="2"/>
  <c r="U4" i="2"/>
  <c r="F4" i="2"/>
  <c r="H5" i="1" l="1"/>
</calcChain>
</file>

<file path=xl/sharedStrings.xml><?xml version="1.0" encoding="utf-8"?>
<sst xmlns="http://schemas.openxmlformats.org/spreadsheetml/2006/main" count="957" uniqueCount="576">
  <si>
    <t>FARMÁCIA — CENTRAL DE ALERTAS DE CAMPANHAS</t>
  </si>
  <si>
    <t>[ Programador &gt; Macros &gt; AtualizarDashboardDados | AtualizarBanner | ImprimirDashboard ]</t>
  </si>
  <si>
    <t>CAMPANHAS ATIVAS</t>
  </si>
  <si>
    <t>POR REGULARIZAR</t>
  </si>
  <si>
    <t>PRAZOS CRÍTICOS</t>
  </si>
  <si>
    <t>ID</t>
  </si>
  <si>
    <t>Nome da Campanha</t>
  </si>
  <si>
    <t>Marca</t>
  </si>
  <si>
    <t>Data Fim</t>
  </si>
  <si>
    <t>Dias Rest.</t>
  </si>
  <si>
    <t>Desc. 1</t>
  </si>
  <si>
    <t>Desc. 2</t>
  </si>
  <si>
    <t>Desc. 3</t>
  </si>
  <si>
    <t>Delegado</t>
  </si>
  <si>
    <t>Val. a Receber</t>
  </si>
  <si>
    <t>Estado Comp.</t>
  </si>
  <si>
    <t>CAM-001</t>
  </si>
  <si>
    <t>Campanha Eucerin Sun</t>
  </si>
  <si>
    <t>Eucerin</t>
  </si>
  <si>
    <t>Carla-Eucerin</t>
  </si>
  <si>
    <t>Pendente</t>
  </si>
  <si>
    <t>CAM-003</t>
  </si>
  <si>
    <t>Campanha Eucerin Acne</t>
  </si>
  <si>
    <t>CAM-010</t>
  </si>
  <si>
    <t>Magnesium</t>
  </si>
  <si>
    <t>Angelini</t>
  </si>
  <si>
    <t>Daniela</t>
  </si>
  <si>
    <t>CAM-011</t>
  </si>
  <si>
    <t>Papillon - Face cream</t>
  </si>
  <si>
    <t>Papillon</t>
  </si>
  <si>
    <t>Helder</t>
  </si>
  <si>
    <t>CAM-012</t>
  </si>
  <si>
    <t>Cantabria . Iraltone</t>
  </si>
  <si>
    <t>Cantabria</t>
  </si>
  <si>
    <t>CAM-017</t>
  </si>
  <si>
    <t>Eucerin sell out</t>
  </si>
  <si>
    <t>CAMPANHAS POR REGULARIZAR — TERMINADAS PENDENTES DE COMPENSAÇÃO</t>
  </si>
  <si>
    <t>CAM-002</t>
  </si>
  <si>
    <t>Campanha Eucerin Corpo</t>
  </si>
  <si>
    <t>Terminada</t>
  </si>
  <si>
    <t>CAM-004</t>
  </si>
  <si>
    <t>Papillon -Body lotion / Deo</t>
  </si>
  <si>
    <t>CAM-005</t>
  </si>
  <si>
    <t>Aboca - na 2ª unidade</t>
  </si>
  <si>
    <t>Aboca</t>
  </si>
  <si>
    <t>Bárbara Oliveira</t>
  </si>
  <si>
    <t>CAM-006</t>
  </si>
  <si>
    <t>Campanha Roc keops</t>
  </si>
  <si>
    <t>Unibrands</t>
  </si>
  <si>
    <t>Márcia</t>
  </si>
  <si>
    <t>CAM-007</t>
  </si>
  <si>
    <t>CAM-009</t>
  </si>
  <si>
    <t>Elgydium e Arthrodont</t>
  </si>
  <si>
    <t>Pierre Fabre</t>
  </si>
  <si>
    <t>PRAZOS CRÍTICOS — A TERMINAR EM BREVE</t>
  </si>
  <si>
    <t>Estado</t>
  </si>
  <si>
    <t>Tipo Resolução</t>
  </si>
  <si>
    <t>E-mail</t>
  </si>
  <si>
    <t>Notas</t>
  </si>
  <si>
    <t>Prazo crítico configurável em Referências!E2  |  Execute AtualizarDashboardDados para refrescar</t>
  </si>
  <si>
    <t>GESTÃO DE CAMPANHAS E COMPENSAÇÕES</t>
  </si>
  <si>
    <t>DADOS DA CAMPANHA</t>
  </si>
  <si>
    <t>COMPENSAÇÃO</t>
  </si>
  <si>
    <t>Data Início</t>
  </si>
  <si>
    <t>Dias Restantes</t>
  </si>
  <si>
    <t>Cód. Barras / Det. Vendas</t>
  </si>
  <si>
    <t>Via de Resolução</t>
  </si>
  <si>
    <t>Vendedor(a)</t>
  </si>
  <si>
    <t>E-mail Contacto</t>
  </si>
  <si>
    <t>Desc. 1 (%)</t>
  </si>
  <si>
    <t>Desc. 2 (%)</t>
  </si>
  <si>
    <t>Desc. 3 (%)</t>
  </si>
  <si>
    <t>Val. a Receber €</t>
  </si>
  <si>
    <t>Val. Recebido €</t>
  </si>
  <si>
    <t>Qtd. Produto</t>
  </si>
  <si>
    <t>Val. Produto €</t>
  </si>
  <si>
    <t>Saldo Pendente €</t>
  </si>
  <si>
    <t>Data Liquidação</t>
  </si>
  <si>
    <t>Obs. Compensação</t>
  </si>
  <si>
    <t>Ativa</t>
  </si>
  <si>
    <t>Valor (produto)</t>
  </si>
  <si>
    <t>Código de barras</t>
  </si>
  <si>
    <t>Código de Barras</t>
  </si>
  <si>
    <t>Código de barras</t>
  </si>
  <si>
    <t>Detalhe de vendas site</t>
  </si>
  <si>
    <t>Detalhe de Vendas</t>
  </si>
  <si>
    <t>Detalhe de vendas</t>
  </si>
  <si>
    <t>Dinheiro</t>
  </si>
  <si>
    <t>Envio e-mail</t>
  </si>
  <si>
    <t>angelini@marketline.pt</t>
  </si>
  <si>
    <t>CAM-008</t>
  </si>
  <si>
    <t>Thermacare</t>
  </si>
  <si>
    <t>Liquidada</t>
  </si>
  <si>
    <t>enviar e-mail</t>
  </si>
  <si>
    <t xml:space="preserve"> campanhascantabrialabs@marketline.pt</t>
  </si>
  <si>
    <t>CAM-013</t>
  </si>
  <si>
    <t>Programada</t>
  </si>
  <si>
    <t>CAM-014</t>
  </si>
  <si>
    <t>Eucerin Sun</t>
  </si>
  <si>
    <t>CAM-015</t>
  </si>
  <si>
    <t xml:space="preserve">Tantum aftas </t>
  </si>
  <si>
    <t>CAM-016</t>
  </si>
  <si>
    <t>Papillon - Black Friday</t>
  </si>
  <si>
    <t>01-0-2026</t>
  </si>
  <si>
    <t>CAMPANHAS ATIVAS — DESCONTOS EM VIGOR</t>
  </si>
  <si>
    <t>35% / 40%</t>
  </si>
  <si>
    <t>20% / 25% / 30%</t>
  </si>
  <si>
    <t>20% / 50%</t>
  </si>
  <si>
    <t>Execute a macro AtualizarBanner para actualizar. Atribua a um botão via Programador &gt; Inserir &gt; Botão.</t>
  </si>
  <si>
    <t>HISTÓRICO DE MOVIMENTOS DE COMPENSAÇÃO</t>
  </si>
  <si>
    <t>Registe cada movimento individualmente: transferências parciais, notas de crédito, entregas de produto, estornos. O separador Compensações agrega automaticamente os totais.</t>
  </si>
  <si>
    <t>ID Movimento</t>
  </si>
  <si>
    <t>ID Campanha</t>
  </si>
  <si>
    <t>Nome Campanha</t>
  </si>
  <si>
    <t>Marca / Lab.</t>
  </si>
  <si>
    <t>Data Movimento</t>
  </si>
  <si>
    <t>Tipo Movimento</t>
  </si>
  <si>
    <t>Montante €</t>
  </si>
  <si>
    <t>Ref. Documento</t>
  </si>
  <si>
    <t>Registado por</t>
  </si>
  <si>
    <t>Observações</t>
  </si>
  <si>
    <t>MOV-001</t>
  </si>
  <si>
    <t>2025-05-15</t>
  </si>
  <si>
    <t>Transferência Bancária</t>
  </si>
  <si>
    <t>TRF/2025/0234</t>
  </si>
  <si>
    <t>Ana Costa</t>
  </si>
  <si>
    <t>1.ª tranche Bayer</t>
  </si>
  <si>
    <t>MOV-002</t>
  </si>
  <si>
    <t>2025-05-20</t>
  </si>
  <si>
    <t>Entrega de Produto</t>
  </si>
  <si>
    <t>GR/2025/0112</t>
  </si>
  <si>
    <t>Bruno Silva</t>
  </si>
  <si>
    <t>Reckitt — 48 unid. Dettol</t>
  </si>
  <si>
    <t>MOV-003</t>
  </si>
  <si>
    <t>2025-04-15</t>
  </si>
  <si>
    <t>TRF/2025/0198</t>
  </si>
  <si>
    <t>Carla Matos</t>
  </si>
  <si>
    <t>Pagamento total Pfizer</t>
  </si>
  <si>
    <t>MOV-004</t>
  </si>
  <si>
    <t>2025-06-02</t>
  </si>
  <si>
    <t>Nota de Crédito</t>
  </si>
  <si>
    <t>NC/2025/0045</t>
  </si>
  <si>
    <t>Nota crédito Novo Nordisk</t>
  </si>
  <si>
    <t>MOV-005</t>
  </si>
  <si>
    <t>2025-05-10</t>
  </si>
  <si>
    <t>TRF/2025/0267</t>
  </si>
  <si>
    <t>David Ramos</t>
  </si>
  <si>
    <t>Pagamento total Boehringer</t>
  </si>
  <si>
    <t>TOTAIS DO HISTÓRICO</t>
  </si>
  <si>
    <t>Total Transferências + NC (€)</t>
  </si>
  <si>
    <t>Total Produto Recebido (unid.)</t>
  </si>
  <si>
    <t>Estornos (€)</t>
  </si>
  <si>
    <t>N.º Movimentos</t>
  </si>
  <si>
    <t>ESTADOS</t>
  </si>
  <si>
    <t>TIPO RESOLUÇÃO</t>
  </si>
  <si>
    <t>MARCAS</t>
  </si>
  <si>
    <t>DELEGADOS</t>
  </si>
  <si>
    <t>PRAZO CRÍTICO (dias)</t>
  </si>
  <si>
    <t>Bene</t>
  </si>
  <si>
    <t>Tânia</t>
  </si>
  <si>
    <t>← Altere este valor</t>
  </si>
  <si>
    <t>Cancelada</t>
  </si>
  <si>
    <t>Carla-Cantabria</t>
  </si>
  <si>
    <t>Martkline</t>
  </si>
  <si>
    <t>Nota de crédito</t>
  </si>
  <si>
    <t>Site</t>
  </si>
  <si>
    <t>?</t>
  </si>
  <si>
    <t>Moreno</t>
  </si>
  <si>
    <t>José Luís</t>
  </si>
  <si>
    <t>Disfaline</t>
  </si>
  <si>
    <t>Elsa Volta</t>
  </si>
  <si>
    <t>NOTA: Esta folha alimenta as validações de dados e os alertas automáticos. Não altere os cabeçalhos.</t>
  </si>
  <si>
    <t>Marca e Delegado</t>
  </si>
  <si>
    <t>devem estar na mesma linha</t>
  </si>
  <si>
    <t>CÓDIGO VBA v4 — Copie da linha 2 até ao fim para o Editor VBA (Alt+F11 &gt; Módulo)</t>
  </si>
  <si>
    <t>Option Explicit</t>
  </si>
  <si>
    <t>' ===============================================================</t>
  </si>
  <si>
    <t>' MACRO 1: ImprimirDashboard</t>
  </si>
  <si>
    <t>Sub ImprimirDashboard()</t>
  </si>
  <si>
    <t xml:space="preserve">    Dim wsDash As Worksheet</t>
  </si>
  <si>
    <t xml:space="preserve">    Set wsDash = ThisWorkbook.Sheets("Dashboard")</t>
  </si>
  <si>
    <t xml:space="preserve">    wsDash.PageSetup.PrintArea = "A1:L37"</t>
  </si>
  <si>
    <t xml:space="preserve">    With wsDash.PageSetup</t>
  </si>
  <si>
    <t xml:space="preserve">        .Orientation = xlLandscape</t>
  </si>
  <si>
    <t xml:space="preserve">        .PaperSize = xlPaperA3</t>
  </si>
  <si>
    <t xml:space="preserve">        .FitToPagesWide = 1</t>
  </si>
  <si>
    <t xml:space="preserve">        .FitToPagesTall = False</t>
  </si>
  <si>
    <t xml:space="preserve">        .Zoom = False</t>
  </si>
  <si>
    <t xml:space="preserve">        .TopMargin = Application.InchesToPoints(0.3)</t>
  </si>
  <si>
    <t xml:space="preserve">        .BottomMargin = Application.InchesToPoints(0.3)</t>
  </si>
  <si>
    <t xml:space="preserve">        .LeftMargin = Application.InchesToPoints(0.3)</t>
  </si>
  <si>
    <t xml:space="preserve">        .RightMargin = Application.InchesToPoints(0.3)</t>
  </si>
  <si>
    <t xml:space="preserve">        .CenterHorizontally = True</t>
  </si>
  <si>
    <t xml:space="preserve">        .PrintGridlines = False</t>
  </si>
  <si>
    <t xml:space="preserve">        .PrintHeadings = False</t>
  </si>
  <si>
    <t xml:space="preserve">    End With</t>
  </si>
  <si>
    <t xml:space="preserve">    Dim resposta As VbMsgBoxResult</t>
  </si>
  <si>
    <t xml:space="preserve">    resposta = MsgBox("Imprimir em A3 Paisagem?" &amp; Chr(13) &amp; "Sim = imprime. Nao = pre-visualizacao.", vbYesNo + vbQuestion, "Impressao")</t>
  </si>
  <si>
    <t xml:space="preserve">    If resposta = vbYes Then</t>
  </si>
  <si>
    <t xml:space="preserve">        wsDash.PrintOut Copies:=1, Preview:=False</t>
  </si>
  <si>
    <t xml:space="preserve">    Else</t>
  </si>
  <si>
    <t xml:space="preserve">        wsDash.PrintPreview</t>
  </si>
  <si>
    <t xml:space="preserve">    End If</t>
  </si>
  <si>
    <t>End Sub</t>
  </si>
  <si>
    <t>' MACRO 2: AtualizarEstadosAutomaticamente</t>
  </si>
  <si>
    <t>' Coluna 4 (D) = Data Início | Coluna 5 (E) = Data Fim | Coluna 7 (G) = Estado</t>
  </si>
  <si>
    <t>' Programada -&gt; Ativa quando Data Início &lt;= hoje</t>
  </si>
  <si>
    <t>' Ativa -&gt; Terminada quando Data Fim &lt; hoje</t>
  </si>
  <si>
    <t>Sub AtualizarEstadosAutomaticamente()</t>
  </si>
  <si>
    <t xml:space="preserve">    Dim ws As Worksheet</t>
  </si>
  <si>
    <t xml:space="preserve">    Dim ultimaLinha As Long, i As Long, alteracoes As Long</t>
  </si>
  <si>
    <t xml:space="preserve">    Dim dataInicio As Date, dataFim As Date, estado As String</t>
  </si>
  <si>
    <t xml:space="preserve">    Set ws = ThisWorkbook.Sheets("Gestão")</t>
  </si>
  <si>
    <t xml:space="preserve">    ultimaLinha = ws.Cells(ws.Rows.Count, "A").End(xlUp).Row</t>
  </si>
  <si>
    <t xml:space="preserve">    alteracoes = 0</t>
  </si>
  <si>
    <t xml:space="preserve">    Application.ScreenUpdating = False</t>
  </si>
  <si>
    <t xml:space="preserve">    For i = 4 To ultimaLinha</t>
  </si>
  <si>
    <t xml:space="preserve">        If ws.Cells(i, 1).Value &lt;&gt; "" Then</t>
  </si>
  <si>
    <t xml:space="preserve">            estado = ws.Cells(i, 7).Value</t>
  </si>
  <si>
    <t xml:space="preserve">            ' Programada -&gt; Ativa quando a Data Início chega</t>
  </si>
  <si>
    <t xml:space="preserve">            If estado = "Programada" And IsDate(ws.Cells(i, 4).Value) Then</t>
  </si>
  <si>
    <t xml:space="preserve">                dataInicio = CDate(ws.Cells(i, 4).Value)</t>
  </si>
  <si>
    <t xml:space="preserve">                If dataInicio &lt;= Date Then</t>
  </si>
  <si>
    <t xml:space="preserve">                    ws.Cells(i, 7).Value = "Ativa"</t>
  </si>
  <si>
    <t xml:space="preserve">                    alteracoes = alteracoes + 1</t>
  </si>
  <si>
    <t xml:space="preserve">                    estado = "Ativa"</t>
  </si>
  <si>
    <t xml:space="preserve">                End If</t>
  </si>
  <si>
    <t xml:space="preserve">            End If</t>
  </si>
  <si>
    <t xml:space="preserve">            ' Ativa -&gt; Terminada quando a Data Fim passa</t>
  </si>
  <si>
    <t xml:space="preserve">            If estado = "Ativa" And IsDate(ws.Cells(i, 5).Value) Then</t>
  </si>
  <si>
    <t xml:space="preserve">                dataFim = CDate(ws.Cells(i, 5).Value)</t>
  </si>
  <si>
    <t xml:space="preserve">                If dataFim &lt; Date Then</t>
  </si>
  <si>
    <t xml:space="preserve">                    ws.Cells(i, 7).Value = "Terminada"</t>
  </si>
  <si>
    <t xml:space="preserve">        End If</t>
  </si>
  <si>
    <t xml:space="preserve">    Next i</t>
  </si>
  <si>
    <t xml:space="preserve">    Application.ScreenUpdating = True</t>
  </si>
  <si>
    <t xml:space="preserve">    If alteracoes &gt; 0 Then</t>
  </si>
  <si>
    <t xml:space="preserve">        MsgBox alteracoes &amp; " campanha(s) atualizada(s) automaticamente.", vbInformation</t>
  </si>
  <si>
    <t xml:space="preserve">        MsgBox "Todos os estados estao correctos.", vbInformation</t>
  </si>
  <si>
    <t>' MACRO 3: GerarNovoID</t>
  </si>
  <si>
    <t>Function GerarNovoID() As String</t>
  </si>
  <si>
    <t xml:space="preserve">    Dim ultimaLinha As Long, numero As Long</t>
  </si>
  <si>
    <t xml:space="preserve">    If ultimaLinha &lt; 4 Then</t>
  </si>
  <si>
    <t xml:space="preserve">        GerarNovoID = "CAM-001"</t>
  </si>
  <si>
    <t xml:space="preserve">        Exit Function</t>
  </si>
  <si>
    <t xml:space="preserve">    numero = CLng(Right(ws.Cells(ultimaLinha, 1).Value, 3)) + 1</t>
  </si>
  <si>
    <t xml:space="preserve">    GerarNovoID = "CAM-" &amp; Format(numero, "000")</t>
  </si>
  <si>
    <t>End Function</t>
  </si>
  <si>
    <t>' MACRO 4: AdicionarNovaCampanha</t>
  </si>
  <si>
    <t>Sub AdicionarNovaCampanha()</t>
  </si>
  <si>
    <t xml:space="preserve">    Dim ultimaLinha As Long, novaLinha As Long, novoID As String</t>
  </si>
  <si>
    <t xml:space="preserve">    novaLinha = ultimaLinha + 1</t>
  </si>
  <si>
    <t xml:space="preserve">    novoID = GerarNovoID()</t>
  </si>
  <si>
    <t xml:space="preserve">    ws.Cells(novaLinha, 1).Value = novoID</t>
  </si>
  <si>
    <t xml:space="preserve">    ws.Cells(novaLinha, 7).Value = "Ativa"</t>
  </si>
  <si>
    <t xml:space="preserve">    ws.Cells(novaLinha, 22).Value = "Pendente"</t>
  </si>
  <si>
    <t xml:space="preserve">    ws.Cells(novaLinha, 6).Formula = "=IFERROR(MAX(0,E" &amp; novaLinha &amp; "-TODAY()),0)"</t>
  </si>
  <si>
    <t xml:space="preserve">    ws.Cells(novaLinha, 21).Formula = "=IFERROR(Q" &amp; novaLinha &amp; "-R" &amp; novaLinha &amp; "-T" &amp; novaLinha &amp; ",0)"</t>
  </si>
  <si>
    <t xml:space="preserve">    ws.Rows(ultimaLinha).Copy</t>
  </si>
  <si>
    <t xml:space="preserve">    ws.Rows(novaLinha).PasteSpecial Paste:=xlPasteFormats</t>
  </si>
  <si>
    <t xml:space="preserve">    Application.CutCopyMode = False</t>
  </si>
  <si>
    <t xml:space="preserve">    ws.Cells(novaLinha, 4).NumberFormat = "DD-MM-YYYY"</t>
  </si>
  <si>
    <t xml:space="preserve">    ws.Cells(novaLinha, 5).NumberFormat = "DD-MM-YYYY"</t>
  </si>
  <si>
    <t xml:space="preserve">    ws.Cells(novaLinha, 23).NumberFormat = "DD-MM-YYYY"</t>
  </si>
  <si>
    <t xml:space="preserve">    ws.Cells(novaLinha, 17).NumberFormat = "#,##0.00 ""€"""</t>
  </si>
  <si>
    <t xml:space="preserve">    ws.Cells(novaLinha, 20).NumberFormat = "#,##0.00 ""€"""</t>
  </si>
  <si>
    <t xml:space="preserve">    ws.Cells(novaLinha, 21).NumberFormat = "#,##0.00 ""€"""</t>
  </si>
  <si>
    <t xml:space="preserve">    With ws.Cells(novaLinha, 3).Validation</t>
  </si>
  <si>
    <t xml:space="preserve">        .Delete</t>
  </si>
  <si>
    <t xml:space="preserve">        .Add Type:=xlValidateList, AlertStyle:=xlValidAlertStop, Formula1:="=Referências!C2:C50"</t>
  </si>
  <si>
    <t xml:space="preserve">        .ShowError = True</t>
  </si>
  <si>
    <t xml:space="preserve">    With ws.Cells(novaLinha, 7).Validation</t>
  </si>
  <si>
    <t xml:space="preserve">        .Add Type:=xlValidateList, AlertStyle:=xlValidAlertStop, Formula1:="Ativa,Programada,Terminada,Cancelada"</t>
  </si>
  <si>
    <t xml:space="preserve">    With ws.Cells(novaLinha, 9).Validation</t>
  </si>
  <si>
    <t xml:space="preserve">        .Add Type:=xlValidateList, AlertStyle:=xlValidAlertStop, Formula1:="Dinheiro,Valor (produto)"</t>
  </si>
  <si>
    <t xml:space="preserve">    With ws.Cells(novaLinha, 22).Validation</t>
  </si>
  <si>
    <t xml:space="preserve">        .Add Type:=xlValidateList, AlertStyle:=xlValidAlertStop, Formula1:="Pendente,Parcial,Liquidada,Cancelada"</t>
  </si>
  <si>
    <t xml:space="preserve">    ws.Activate</t>
  </si>
  <si>
    <t xml:space="preserve">    ws.Cells(novaLinha, 2).Select</t>
  </si>
  <si>
    <t xml:space="preserve">    MsgBox "Campanha " &amp; novoID &amp; " criada.", vbInformation</t>
  </si>
  <si>
    <t>' MACRO 5: GerarIDMovimento</t>
  </si>
  <si>
    <t>Function GerarIDMovimento() As String</t>
  </si>
  <si>
    <t xml:space="preserve">    Dim wsHist As Worksheet</t>
  </si>
  <si>
    <t xml:space="preserve">    Dim r As Long, numero As Long, n As Long</t>
  </si>
  <si>
    <t xml:space="preserve">    Set wsHist = ThisWorkbook.Sheets("Histórico")</t>
  </si>
  <si>
    <t xml:space="preserve">    numero = 0</t>
  </si>
  <si>
    <t xml:space="preserve">    For r = 4 To 1000</t>
  </si>
  <si>
    <t xml:space="preserve">        If Left(CStr(wsHist.Cells(r, 1).Value), 3) = "MOV" Then</t>
  </si>
  <si>
    <t xml:space="preserve">            n = CLng(Right(wsHist.Cells(r, 1).Value, 3))</t>
  </si>
  <si>
    <t xml:space="preserve">            If n &gt; numero Then numero = n</t>
  </si>
  <si>
    <t xml:space="preserve">    Next r</t>
  </si>
  <si>
    <t xml:space="preserve">    GerarIDMovimento = "MOV-" &amp; Format(numero + 1, "000")</t>
  </si>
  <si>
    <t>' MACRO 6: RegistarMovimento</t>
  </si>
  <si>
    <t>Sub RegistarMovimento()</t>
  </si>
  <si>
    <t xml:space="preserve">    Dim novaLinha As Long, ultimaDados As Long, r As Long</t>
  </si>
  <si>
    <t xml:space="preserve">    Dim linhaTotais As Long</t>
  </si>
  <si>
    <t xml:space="preserve">    Dim camID As String, tipoMov As String</t>
  </si>
  <si>
    <t xml:space="preserve">    Dim montante As Double, qtdProd As Long</t>
  </si>
  <si>
    <t xml:space="preserve">    Dim refDoc As String, regPor As String, obs As String</t>
  </si>
  <si>
    <t xml:space="preserve">    linhaTotais = 0</t>
  </si>
  <si>
    <t xml:space="preserve">    For r = 4 To 500</t>
  </si>
  <si>
    <t xml:space="preserve">        If InStr(1, CStr(wsHist.Cells(r, 1).Value), "TOTAIS", vbTextCompare) &gt; 0 Then</t>
  </si>
  <si>
    <t xml:space="preserve">            linhaTotais = r</t>
  </si>
  <si>
    <t xml:space="preserve">            Exit For</t>
  </si>
  <si>
    <t xml:space="preserve">    ultimaDados = 3</t>
  </si>
  <si>
    <t xml:space="preserve">    For r = 4 To linhaTotais - 1</t>
  </si>
  <si>
    <t xml:space="preserve">            ultimaDados = r</t>
  </si>
  <si>
    <t xml:space="preserve">    novaLinha = ultimaDados + 1</t>
  </si>
  <si>
    <t xml:space="preserve">    If novaLinha &gt;= linhaTotais - 1 Then</t>
  </si>
  <si>
    <t xml:space="preserve">        wsHist.Rows(novaLinha).Insert Shift:=xlDown</t>
  </si>
  <si>
    <t xml:space="preserve">    camID = InputBox("ID da Campanha (ex: CAM-001):", "Novo Movimento", "CAM-")</t>
  </si>
  <si>
    <t xml:space="preserve">    If camID = "" Or camID = "CAM-" Then Exit Sub</t>
  </si>
  <si>
    <t xml:space="preserve">    tipoMov = InputBox("Tipo:" &amp; Chr(13) &amp; "1 - Transferencia Bancaria" &amp; Chr(13) &amp; "2 - Nota de Credito" &amp; Chr(13) &amp; "3 - Entrega de Produto" &amp; Chr(13) &amp; "4 - Estorno" &amp; Chr(13) &amp; "5 - Acerto Final", "Tipo de Movimento")</t>
  </si>
  <si>
    <t xml:space="preserve">    Select Case tipoMov</t>
  </si>
  <si>
    <t xml:space="preserve">        Case "1": tipoMov = "Transferência Bancária"</t>
  </si>
  <si>
    <t xml:space="preserve">        Case "2": tipoMov = "Nota de Crédito"</t>
  </si>
  <si>
    <t xml:space="preserve">        Case "3": tipoMov = "Entrega de Produto"</t>
  </si>
  <si>
    <t xml:space="preserve">        Case "4": tipoMov = "Estorno"</t>
  </si>
  <si>
    <t xml:space="preserve">        Case "5": tipoMov = "Acerto Final"</t>
  </si>
  <si>
    <t xml:space="preserve">    End Select</t>
  </si>
  <si>
    <t xml:space="preserve">    If tipoMov = "" Then Exit Sub</t>
  </si>
  <si>
    <t xml:space="preserve">    montante = Val(InputBox("Montante em euros (0 se produto):", "Montante", "0"))</t>
  </si>
  <si>
    <t xml:space="preserve">    qtdProd = Val(InputBox("Quantidade produto (0 se dinheiro):", "Produto", "0"))</t>
  </si>
  <si>
    <t xml:space="preserve">    refDoc = InputBox("Referencia do documento:", "Referencia")</t>
  </si>
  <si>
    <t xml:space="preserve">    regPor = InputBox("Registado por:", "Responsavel")</t>
  </si>
  <si>
    <t xml:space="preserve">    obs = InputBox("Observacoes (opcional):", "Observacoes")</t>
  </si>
  <si>
    <t xml:space="preserve">    wsHist.Rows(ultimaDados).Copy</t>
  </si>
  <si>
    <t xml:space="preserve">    wsHist.Rows(novaLinha).PasteSpecial Paste:=xlPasteFormats</t>
  </si>
  <si>
    <t xml:space="preserve">    wsHist.Cells(novaLinha, 1).Value = GerarIDMovimento()</t>
  </si>
  <si>
    <t xml:space="preserve">    wsHist.Cells(novaLinha, 2).Value = camID</t>
  </si>
  <si>
    <t xml:space="preserve">    wsHist.Cells(ultimaDados, 3).Copy wsHist.Cells(novaLinha, 3)</t>
  </si>
  <si>
    <t xml:space="preserve">    wsHist.Cells(ultimaDados, 4).Copy wsHist.Cells(novaLinha, 4)</t>
  </si>
  <si>
    <t xml:space="preserve">    wsHist.Cells(novaLinha, 5).Value = Date</t>
  </si>
  <si>
    <t xml:space="preserve">    wsHist.Cells(novaLinha, 5).NumberFormat = "DD-MM-YYYY"</t>
  </si>
  <si>
    <t xml:space="preserve">    wsHist.Cells(novaLinha, 6).Value = tipoMov</t>
  </si>
  <si>
    <t xml:space="preserve">    wsHist.Cells(novaLinha, 7).Value = montante</t>
  </si>
  <si>
    <t xml:space="preserve">    wsHist.Cells(novaLinha, 7).NumberFormat = "#,##0.00 ""€"""</t>
  </si>
  <si>
    <t xml:space="preserve">    wsHist.Cells(novaLinha, 8).Value = qtdProd</t>
  </si>
  <si>
    <t xml:space="preserve">    wsHist.Cells(novaLinha, 9).Value = refDoc</t>
  </si>
  <si>
    <t xml:space="preserve">    wsHist.Cells(novaLinha, 10).Value = regPor</t>
  </si>
  <si>
    <t xml:space="preserve">    wsHist.Cells(novaLinha, 11).Value = obs</t>
  </si>
  <si>
    <t xml:space="preserve">    With wsHist.Cells(novaLinha, 6).Validation</t>
  </si>
  <si>
    <t xml:space="preserve">        .Add Type:=xlValidateList, AlertStyle:=xlValidAlertStop, Formula1:="Transferência Bancária,Nota de Crédito,Entrega de Produto,Estorno,Acerto Final"</t>
  </si>
  <si>
    <t xml:space="preserve">    MsgBox "Movimento " &amp; wsHist.Cells(novaLinha, 1).Value &amp; " registado.", vbInformation</t>
  </si>
  <si>
    <t>' MACRO 8: (reservada)</t>
  </si>
  <si>
    <t>' MACRO 9: AtualizarBanner</t>
  </si>
  <si>
    <t>' Fonte: 22pt 1 desconto, 14pt 2 descontos.</t>
  </si>
  <si>
    <t>Sub AtualizarBanner()</t>
  </si>
  <si>
    <t xml:space="preserve">    Dim ws As Worksheet, wsBanner As Worksheet</t>
  </si>
  <si>
    <t xml:space="preserve">    Dim ultimaLinha As Long, r As Long</t>
  </si>
  <si>
    <t xml:space="preserve">    Dim cardCount As Long, colCard As Long</t>
  </si>
  <si>
    <t xml:space="preserve">    Dim marca As String, nome As String</t>
  </si>
  <si>
    <t xml:space="preserve">    Dim desc1 As Variant, desc2 As Variant, desc3 As Variant</t>
  </si>
  <si>
    <t xml:space="preserve">    Dim txtDesc As String, tamDesc As Long</t>
  </si>
  <si>
    <t xml:space="preserve">    Set wsBanner = ThisWorkbook.Sheets("Banner")</t>
  </si>
  <si>
    <t xml:space="preserve">    Dim col As Long</t>
  </si>
  <si>
    <t xml:space="preserve">    For col = 2 To 22 Step 2</t>
  </si>
  <si>
    <t xml:space="preserve">        wsBanner.Cells(4, col).Value = ""</t>
  </si>
  <si>
    <t xml:space="preserve">        wsBanner.Cells(5, col).Value = ""</t>
  </si>
  <si>
    <t xml:space="preserve">        wsBanner.Cells(6, col).Value = ""</t>
  </si>
  <si>
    <t xml:space="preserve">        wsBanner.Cells(4, col).Interior.ColorIndex = xlNone</t>
  </si>
  <si>
    <t xml:space="preserve">        wsBanner.Cells(5, col).Interior.ColorIndex = xlNone</t>
  </si>
  <si>
    <t xml:space="preserve">        wsBanner.Cells(6, col).Interior.ColorIndex = xlNone</t>
  </si>
  <si>
    <t xml:space="preserve">        wsBanner.Cells(4, col).Borders.LineStyle = xlNone</t>
  </si>
  <si>
    <t xml:space="preserve">        wsBanner.Cells(5, col).Borders.LineStyle = xlNone</t>
  </si>
  <si>
    <t xml:space="preserve">        wsBanner.Cells(6, col).Borders.LineStyle = xlNone</t>
  </si>
  <si>
    <t xml:space="preserve">    Next col</t>
  </si>
  <si>
    <t xml:space="preserve">    cardCount = 0</t>
  </si>
  <si>
    <t xml:space="preserve">    For r = 4 To ultimaLinha</t>
  </si>
  <si>
    <t xml:space="preserve">        If ws.Cells(r, 7).Value = "Ativa" Then</t>
  </si>
  <si>
    <t xml:space="preserve">            cardCount = cardCount + 1</t>
  </si>
  <si>
    <t xml:space="preserve">            If cardCount &gt; 10 Then Exit For</t>
  </si>
  <si>
    <t xml:space="preserve">            colCard = 2 + (cardCount - 1) * 2</t>
  </si>
  <si>
    <t xml:space="preserve">            marca = ws.Cells(r, 3).Value</t>
  </si>
  <si>
    <t xml:space="preserve">            nome = ws.Cells(r, 2).Value</t>
  </si>
  <si>
    <t xml:space="preserve">            desc1 = ws.Cells(r, 14).Value</t>
  </si>
  <si>
    <t xml:space="preserve">            desc2 = ws.Cells(r, 15).Value</t>
  </si>
  <si>
    <t xml:space="preserve">            desc3 = ws.Cells(r, 16).Value</t>
  </si>
  <si>
    <t xml:space="preserve">            If IsEmpty(desc3) Or desc3 = 0 Or desc3 = "" Then</t>
  </si>
  <si>
    <t xml:space="preserve">                If IsEmpty(desc2) Or desc2 = 0 Or desc2 = "" Then</t>
  </si>
  <si>
    <t xml:space="preserve">                    txtDesc = desc1 &amp; "%"</t>
  </si>
  <si>
    <t xml:space="preserve">                    tamDesc = 40</t>
  </si>
  <si>
    <t xml:space="preserve">                Else</t>
  </si>
  <si>
    <t xml:space="preserve">                    txtDesc = desc1 &amp; "% / " &amp; desc2 &amp; "%"</t>
  </si>
  <si>
    <t xml:space="preserve">                    tamDesc = 30</t>
  </si>
  <si>
    <t xml:space="preserve">            Else</t>
  </si>
  <si>
    <t xml:space="preserve">                txtDesc = desc1 &amp; "% / " &amp; desc2 &amp; "% / " &amp; desc3 &amp; "%"</t>
  </si>
  <si>
    <t xml:space="preserve">                tamDesc = 20</t>
  </si>
  <si>
    <t xml:space="preserve">            wsBanner.Cells(4, colCard).Value = marca</t>
  </si>
  <si>
    <t xml:space="preserve">            wsBanner.Cells(5, colCard).Value = nome</t>
  </si>
  <si>
    <t xml:space="preserve">            wsBanner.Cells(6, colCard).Value = txtDesc</t>
  </si>
  <si>
    <t xml:space="preserve">            With wsBanner.Cells(4, colCard)</t>
  </si>
  <si>
    <t xml:space="preserve">                .Font.Name = "Arial": .Font.Size = 20: .Font.Bold = True</t>
  </si>
  <si>
    <t xml:space="preserve">                .Font.Color = RGB(91, 70, 54)</t>
  </si>
  <si>
    <t xml:space="preserve">                .HorizontalAlignment = xlCenter: .VerticalAlignment = xlCenter: .WrapText = True</t>
  </si>
  <si>
    <t xml:space="preserve">                .Interior.Color = RGB(245, 240, 225)</t>
  </si>
  <si>
    <t xml:space="preserve">                .Borders(xlEdgeLeft).LineStyle = xlContinuous: .Borders(xlEdgeLeft).Weight = xlMedium: .Borders(xlEdgeLeft).Color = RGB(91, 70, 54)</t>
  </si>
  <si>
    <t xml:space="preserve">                .Borders(xlEdgeRight).LineStyle = xlContinuous: .Borders(xlEdgeRight).Weight = xlMedium: .Borders(xlEdgeRight).Color = RGB(91, 70, 54)</t>
  </si>
  <si>
    <t xml:space="preserve">                .Borders(xlEdgeTop).LineStyle = xlContinuous: .Borders(xlEdgeTop).Weight = xlMedium: .Borders(xlEdgeTop).Color = RGB(91, 70, 54)</t>
  </si>
  <si>
    <t xml:space="preserve">            End With</t>
  </si>
  <si>
    <t xml:space="preserve">            With wsBanner.Cells(5, colCard)</t>
  </si>
  <si>
    <t xml:space="preserve">                .Font.Name = "Arial": .Font.Size = 12: .Font.Italic = True</t>
  </si>
  <si>
    <t xml:space="preserve">                .Font.Color = RGB(139, 115, 85)</t>
  </si>
  <si>
    <t xml:space="preserve">            With wsBanner.Cells(6, colCard)</t>
  </si>
  <si>
    <t xml:space="preserve">                .Font.Name = "Arial": .Font.Size = tamDesc: .Font.Bold = True</t>
  </si>
  <si>
    <t xml:space="preserve">                .HorizontalAlignment = xlCenter: .VerticalAlignment = xlCenter</t>
  </si>
  <si>
    <t xml:space="preserve">                .Borders(xlEdgeBottom).LineStyle = xlContinuous: .Borders(xlEdgeBottom).Weight = xlMedium: .Borders(xlEdgeBottom).Color = RGB(91, 70, 54)</t>
  </si>
  <si>
    <t xml:space="preserve">    ' Ajustar cabecalhos ao numero de cartoes</t>
  </si>
  <si>
    <t xml:space="preserve">    Dim lastCardCol As Long</t>
  </si>
  <si>
    <t xml:space="preserve">    If cardCount &gt; 0 Then</t>
  </si>
  <si>
    <t xml:space="preserve">        lastCardCol = 2 + (cardCount - 1) * 2</t>
  </si>
  <si>
    <t xml:space="preserve">        lastCardCol = 2</t>
  </si>
  <si>
    <t xml:space="preserve">    Dim lastColLetter As String</t>
  </si>
  <si>
    <t xml:space="preserve">    lastColLetter = Chr(64 + lastCardCol)</t>
  </si>
  <si>
    <t xml:space="preserve">    ' Desmergar linhas 1 e 2</t>
  </si>
  <si>
    <t xml:space="preserve">    On Error Resume Next</t>
  </si>
  <si>
    <t xml:space="preserve">    wsBanner.Rows("1:2").MergeCells = False</t>
  </si>
  <si>
    <t xml:space="preserve">    On Error GoTo 0</t>
  </si>
  <si>
    <t xml:space="preserve">    ' Limpar linhas 1 e 2</t>
  </si>
  <si>
    <t xml:space="preserve">    wsBanner.Range("A1:U1").ClearContents</t>
  </si>
  <si>
    <t xml:space="preserve">    wsBanner.Range("A1:U1").Interior.ColorIndex = xlNone</t>
  </si>
  <si>
    <t xml:space="preserve">    wsBanner.Range("A2:U2").ClearContents</t>
  </si>
  <si>
    <t xml:space="preserve">    wsBanner.Range("A2:U2").Interior.ColorIndex = xlNone</t>
  </si>
  <si>
    <t xml:space="preserve">    ' Merge ajustado</t>
  </si>
  <si>
    <t xml:space="preserve">    wsBanner.Range("A1:" &amp; lastColLetter &amp; "1").Merge</t>
  </si>
  <si>
    <t xml:space="preserve">    wsBanner.Range("A1").Value = "CAMPANHAS ATIVAS — DESCONTOS EM VIGOR"</t>
  </si>
  <si>
    <t xml:space="preserve">    With wsBanner.Range("A1")</t>
  </si>
  <si>
    <t xml:space="preserve">        .Font.Name = "Arial": .Font.Size = 20: .Font.Bold = True</t>
  </si>
  <si>
    <t xml:space="preserve">        .Font.Color = RGB(255, 255, 255)</t>
  </si>
  <si>
    <t xml:space="preserve">        .Interior.Color = RGB(31, 56, 100)</t>
  </si>
  <si>
    <t xml:space="preserve">        .HorizontalAlignment = xlCenter: .VerticalAlignment = xlCenter</t>
  </si>
  <si>
    <t xml:space="preserve">    wsBanner.Range("A2:" &amp; lastColLetter &amp; "2").Merge</t>
  </si>
  <si>
    <t xml:space="preserve">    wsBanner.Cells(2, 1).Value = "Atualizado em " &amp; Format(Date, "DD de MMMM de YYYY")</t>
  </si>
  <si>
    <t xml:space="preserve">    With wsBanner.Range("A2")</t>
  </si>
  <si>
    <t xml:space="preserve">        .Font.Name = "Arial": .Font.Size = 9: .Font.Bold = True</t>
  </si>
  <si>
    <t xml:space="preserve">        .Font.Color = RGB(0, 0, 0)</t>
  </si>
  <si>
    <t xml:space="preserve">        .Interior.Color = RGB(255, 255, 255)</t>
  </si>
  <si>
    <t xml:space="preserve">    ' Area de impressao</t>
  </si>
  <si>
    <t xml:space="preserve">    wsBanner.PageSetup.PrintArea = "A1:" &amp; lastColLetter &amp; "6"</t>
  </si>
  <si>
    <t xml:space="preserve">    resposta = MsgBox(cardCount &amp; " cartao(oes) actualizados." &amp; Chr(13) &amp; Chr(13) &amp; "Deseja imprimir o Banner?", vbYesNo + vbQuestion, "Banner Atualizado")</t>
  </si>
  <si>
    <t xml:space="preserve">    If resposta = vbYes Then Call ImprimirBanner</t>
  </si>
  <si>
    <t>' MACRO 10: AtualizarDashboardDados</t>
  </si>
  <si>
    <t>' Preenche as 3 seccoes do Dashboard a partir do Gestao.</t>
  </si>
  <si>
    <t>Sub AtualizarDashboardDados()</t>
  </si>
  <si>
    <t xml:space="preserve">    Dim ws As Worksheet, wsDash As Worksheet</t>
  </si>
  <si>
    <t xml:space="preserve">    Dim prazoCritico As Long</t>
  </si>
  <si>
    <t xml:space="preserve">    Dim count As Long, targetRow As Long</t>
  </si>
  <si>
    <t xml:space="preserve">    Dim dr As Long, dc As Long</t>
  </si>
  <si>
    <t xml:space="preserve">    prazoCritico = ThisWorkbook.Sheets("Referências").Cells(2, 5).Value</t>
  </si>
  <si>
    <t xml:space="preserve">    Dim secRegStart As Long, secCritStart As Long, secAtivStart As Long</t>
  </si>
  <si>
    <t xml:space="preserve">    Dim cellVal As String</t>
  </si>
  <si>
    <t xml:space="preserve">    For r = 8 To 50</t>
  </si>
  <si>
    <t xml:space="preserve">        cellVal = CStr(wsDash.Cells(r, 2).Value)</t>
  </si>
  <si>
    <t xml:space="preserve">        If InStr(1, cellVal, "REGULARIZAR", vbTextCompare) &gt; 0 Then secRegStart = r</t>
  </si>
  <si>
    <t xml:space="preserve">        If InStr(1, cellVal, "TICOS", vbTextCompare) &gt; 0 Then secCritStart = r</t>
  </si>
  <si>
    <t xml:space="preserve">        If cellVal = "CAMPANHAS ATIVAS" Then secAtivStart = r</t>
  </si>
  <si>
    <t xml:space="preserve">    ' Seccao 1: Por Regularizar</t>
  </si>
  <si>
    <t xml:space="preserve">    For dr = secRegStart + 2 To secRegStart + 7</t>
  </si>
  <si>
    <t xml:space="preserve">        For dc = 2 To 11: wsDash.Cells(dr, dc).Value = "": wsDash.Cells(dr, dc).Interior.ColorIndex = xlNone: wsDash.Cells(dr, dc).Font.Bold = False: Next dc</t>
  </si>
  <si>
    <t xml:space="preserve">    Next dr</t>
  </si>
  <si>
    <t xml:space="preserve">    count = 0</t>
  </si>
  <si>
    <t xml:space="preserve">        If ws.Cells(r, 7).Value = "Terminada" And ws.Cells(r, 22).Value &lt;&gt; "Liquidada" Then</t>
  </si>
  <si>
    <t xml:space="preserve">            count = count + 1</t>
  </si>
  <si>
    <t xml:space="preserve">            If count &gt; 6 Then Exit For</t>
  </si>
  <si>
    <t xml:space="preserve">            targetRow = secRegStart + 1 + count</t>
  </si>
  <si>
    <t xml:space="preserve">            wsDash.Cells(targetRow, 2).Value = ws.Cells(r, 1).Value</t>
  </si>
  <si>
    <t xml:space="preserve">            wsDash.Cells(targetRow, 3).Value = ws.Cells(r, 2).Value</t>
  </si>
  <si>
    <t xml:space="preserve">            wsDash.Cells(targetRow, 4).Value = ws.Cells(r, 3).Value</t>
  </si>
  <si>
    <t xml:space="preserve">            wsDash.Cells(targetRow, 5).Value = ws.Cells(r, 5).Value</t>
  </si>
  <si>
    <t xml:space="preserve">            wsDash.Cells(targetRow, 5).NumberFormat = "DD-MM-YYYY"</t>
  </si>
  <si>
    <t xml:space="preserve">            wsDash.Cells(targetRow, 6).Value = ws.Cells(r, 6).Value</t>
  </si>
  <si>
    <t xml:space="preserve">            wsDash.Cells(targetRow, 7).Value = ws.Cells(r, 7).Value</t>
  </si>
  <si>
    <t xml:space="preserve">            wsDash.Cells(targetRow, 8).Value = ws.Cells(r, 22).Value</t>
  </si>
  <si>
    <t xml:space="preserve">            wsDash.Cells(targetRow, 9).Value = ws.Cells(r, 11).Value</t>
  </si>
  <si>
    <t xml:space="preserve">            wsDash.Cells(targetRow, 10).Value = ws.Cells(r, 17).Value</t>
  </si>
  <si>
    <t xml:space="preserve">            wsDash.Cells(targetRow, 10).NumberFormat = "#,##0.00 ""€"""</t>
  </si>
  <si>
    <t xml:space="preserve">            wsDash.Cells(targetRow, 11).Value = ws.Cells(r, 21).Value</t>
  </si>
  <si>
    <t xml:space="preserve">            wsDash.Cells(targetRow, 11).NumberFormat = "#,##0.00 ""€"""</t>
  </si>
  <si>
    <t xml:space="preserve">            ' Formatação Val. a Receber (col 10) - verde negrito</t>
  </si>
  <si>
    <t xml:space="preserve">            With wsDash.Cells(targetRow, 10)</t>
  </si>
  <si>
    <t xml:space="preserve">                .Font.Bold = True</t>
  </si>
  <si>
    <t xml:space="preserve">                .Font.Color = RGB(55, 86, 35)</t>
  </si>
  <si>
    <t xml:space="preserve">                .Interior.Color = RGB(226, 239, 218)</t>
  </si>
  <si>
    <t xml:space="preserve">            ' Formatação Saldo Pendente (col 11)</t>
  </si>
  <si>
    <t xml:space="preserve">            If ws.Cells(r, 21).Value &gt; 0 Then</t>
  </si>
  <si>
    <t xml:space="preserve">                With wsDash.Cells(targetRow, 11)</t>
  </si>
  <si>
    <t xml:space="preserve">                    .Font.Bold = True</t>
  </si>
  <si>
    <t xml:space="preserve">                    .Font.Color = RGB(156, 0, 6)</t>
  </si>
  <si>
    <t xml:space="preserve">                    .Interior.Color = RGB(255, 199, 206)</t>
  </si>
  <si>
    <t xml:space="preserve">                End With</t>
  </si>
  <si>
    <t xml:space="preserve">                    .Font.Color = RGB(55, 86, 35)</t>
  </si>
  <si>
    <t xml:space="preserve">                    .Interior.Color = RGB(226, 239, 218)</t>
  </si>
  <si>
    <t xml:space="preserve">    ' Seccao 2: Prazos Criticos</t>
  </si>
  <si>
    <t xml:space="preserve">    For dr = secCritStart + 2 To secCritStart + 7</t>
  </si>
  <si>
    <t xml:space="preserve">        For dc = 2 To 11: wsDash.Cells(dr, dc).Value = "": Next dc</t>
  </si>
  <si>
    <t xml:space="preserve">        If ws.Cells(r, 1).Value &lt;&gt; "" Then</t>
  </si>
  <si>
    <t xml:space="preserve">            If IsNumeric(ws.Cells(r, 6).Value) Then</t>
  </si>
  <si>
    <t xml:space="preserve">                Dim dias As Long</t>
  </si>
  <si>
    <t xml:space="preserve">                dias = CLng(ws.Cells(r, 6).Value)</t>
  </si>
  <si>
    <t xml:space="preserve">                If dias &gt; 0 And dias &lt;= prazoCritico Then</t>
  </si>
  <si>
    <t xml:space="preserve">                    count = count + 1</t>
  </si>
  <si>
    <t xml:space="preserve">                    If count &gt; 6 Then Exit For</t>
  </si>
  <si>
    <t xml:space="preserve">                    targetRow = secCritStart + 1 + count</t>
  </si>
  <si>
    <t xml:space="preserve">                    wsDash.Cells(targetRow, 2).Value = ws.Cells(r, 1).Value</t>
  </si>
  <si>
    <t xml:space="preserve">                    wsDash.Cells(targetRow, 3).Value = ws.Cells(r, 2).Value</t>
  </si>
  <si>
    <t xml:space="preserve">                    wsDash.Cells(targetRow, 4).Value = ws.Cells(r, 3).Value</t>
  </si>
  <si>
    <t xml:space="preserve">                    wsDash.Cells(targetRow, 5).Value = ws.Cells(r, 5).Value</t>
  </si>
  <si>
    <t xml:space="preserve">                    wsDash.Cells(targetRow, 5).NumberFormat = "DD-MM-YYYY"</t>
  </si>
  <si>
    <t xml:space="preserve">                    wsDash.Cells(targetRow, 6).Value = ws.Cells(r, 6).Value</t>
  </si>
  <si>
    <t xml:space="preserve">                    wsDash.Cells(targetRow, 7).Value = ws.Cells(r, 7).Value</t>
  </si>
  <si>
    <t xml:space="preserve">                    wsDash.Cells(targetRow, 8).Value = ws.Cells(r, 9).Value</t>
  </si>
  <si>
    <t xml:space="preserve">                    wsDash.Cells(targetRow, 9).Value = ws.Cells(r, 11).Value</t>
  </si>
  <si>
    <t xml:space="preserve">                    wsDash.Cells(targetRow, 10).Value = ws.Cells(r, 12).Value</t>
  </si>
  <si>
    <t xml:space="preserve">                    wsDash.Cells(targetRow, 11).Value = ws.Cells(r, 13).Value</t>
  </si>
  <si>
    <t xml:space="preserve">    ' Seccao 3: Campanhas Ativas</t>
  </si>
  <si>
    <t xml:space="preserve">    For dr = secAtivStart + 2 To secAtivStart + 11</t>
  </si>
  <si>
    <t xml:space="preserve">        For dc = 2 To 12: wsDash.Cells(dr, dc).Value = "": Next dc</t>
  </si>
  <si>
    <t xml:space="preserve">            If count &gt; 10 Then Exit For</t>
  </si>
  <si>
    <t xml:space="preserve">            targetRow = secAtivStart + 1 + count</t>
  </si>
  <si>
    <t xml:space="preserve">            If Not IsEmpty(ws.Cells(r, 14).Value) And ws.Cells(r, 14).Value &lt;&gt; 0 Then</t>
  </si>
  <si>
    <t xml:space="preserve">                wsDash.Cells(targetRow, 7).Value = ws.Cells(r, 14).Value &amp; "%"</t>
  </si>
  <si>
    <t xml:space="preserve">            If Not IsEmpty(ws.Cells(r, 15).Value) And ws.Cells(r, 15).Value &lt;&gt; 0 Then</t>
  </si>
  <si>
    <t xml:space="preserve">                wsDash.Cells(targetRow, 8).Value = ws.Cells(r, 15).Value &amp; "%"</t>
  </si>
  <si>
    <t xml:space="preserve">            If Not IsEmpty(ws.Cells(r, 16).Value) And ws.Cells(r, 16).Value &lt;&gt; 0 Then</t>
  </si>
  <si>
    <t xml:space="preserve">                wsDash.Cells(targetRow, 9).Value = ws.Cells(r, 16).Value &amp; "%"</t>
  </si>
  <si>
    <t xml:space="preserve">            wsDash.Cells(targetRow, 10).Value = ws.Cells(r, 11).Value</t>
  </si>
  <si>
    <t xml:space="preserve">            wsDash.Cells(targetRow, 11).Value = ws.Cells(r, 17).Value</t>
  </si>
  <si>
    <t xml:space="preserve">            wsDash.Cells(targetRow, 12).Value = ws.Cells(r, 22).Value</t>
  </si>
  <si>
    <t xml:space="preserve">    wsDash.Cells(2, 1).Value = "Atualizado em " &amp; Format(Date, "DD de MMMM de YYYY")</t>
  </si>
  <si>
    <t xml:space="preserve">    MsgBox "Dashboard actualizado.", vbInformation</t>
  </si>
  <si>
    <t>' MACRO 11: ImprimirBanner</t>
  </si>
  <si>
    <t>Sub ImprimirBanner()</t>
  </si>
  <si>
    <t xml:space="preserve">    Dim wsBanner As Worksheet</t>
  </si>
  <si>
    <t xml:space="preserve">    ' PrintArea já definida por AtualizarBanner</t>
  </si>
  <si>
    <t xml:space="preserve">    With wsBanner.PageSetup</t>
  </si>
  <si>
    <t xml:space="preserve">        .PaperSize = xlPaperA4</t>
  </si>
  <si>
    <t xml:space="preserve">        .FitToPagesTall = 1</t>
  </si>
  <si>
    <t xml:space="preserve">        .TopMargin = Application.InchesToPoints(0.2)</t>
  </si>
  <si>
    <t xml:space="preserve">        .BottomMargin = Application.InchesToPoints(0.2)</t>
  </si>
  <si>
    <t xml:space="preserve">        .LeftMargin = Application.InchesToPoints(0.2)</t>
  </si>
  <si>
    <t xml:space="preserve">        .RightMargin = Application.InchesToPoints(0.2)</t>
  </si>
  <si>
    <t xml:space="preserve">        .CenterVertically = True</t>
  </si>
  <si>
    <t xml:space="preserve">    resposta = MsgBox("Imprimir Banner em A4 Paisagem?" &amp; Chr(13) &amp; "Sim = imprime. Nao = pre-visualizacao.", vbYesNo + vbQuestion, "Impressao do Banner")</t>
  </si>
  <si>
    <t xml:space="preserve">        wsBanner.PrintOut Copies:=1, Preview:=False</t>
  </si>
  <si>
    <t xml:space="preserve">        wsBanner.PrintPreview</t>
  </si>
  <si>
    <t>' WORKBOOK_OPEN - cole em EstePastalDeTrabalho</t>
  </si>
  <si>
    <t>' Private Sub Workbook_Open()</t>
  </si>
  <si>
    <t>'     AtualizarEstadosAutomaticamente</t>
  </si>
  <si>
    <t>'     AtualizarDashboardDados</t>
  </si>
  <si>
    <t>'     ThisWorkbook.Sheets("Dashboard").Activate</t>
  </si>
  <si>
    <t>' End Sub</t>
  </si>
  <si>
    <t>' EVENTO: Worksheet_Change para o separador Gestao</t>
  </si>
  <si>
    <t>' ATENCAO: Este bloco NAO vai no Modulo normal.</t>
  </si>
  <si>
    <t>' Deve ser colado no modulo do separador Gestao:</t>
  </si>
  <si>
    <t>'   1. No editor VBA (Alt+F11), na arvore a esquerda,</t>
  </si>
  <si>
    <t>'      faça duplo clique em 'Gestão' (debaixo de 'Microsoft Excel Objects').</t>
  </si>
  <si>
    <t>'   2. Cole este codigo (sem os apostrofos iniciais).</t>
  </si>
  <si>
    <t>' Private Sub Worksheet_Change(ByVal Target As Range)</t>
  </si>
  <si>
    <t>'     ' Auto-preenche Delegado (col I) ao seleccionar Marca (col C)</t>
  </si>
  <si>
    <t>'     If Target.Column = 3 And Target.Row &gt;= 4 Then</t>
  </si>
  <si>
    <t>'         Dim wsRef As Worksheet</t>
  </si>
  <si>
    <t>'         Set wsRef = ThisWorkbook.Sheets("Referências")</t>
  </si>
  <si>
    <t>'         Dim marca As String</t>
  </si>
  <si>
    <t>'         marca = Target.Value</t>
  </si>
  <si>
    <t>'         If marca &lt;&gt; "" Then</t>
  </si>
  <si>
    <t>'             Dim r As Long</t>
  </si>
  <si>
    <t>'             For r = 2 To 50</t>
  </si>
  <si>
    <t>'                 If wsRef.Cells(r, 3).Value = marca Then</t>
  </si>
  <si>
    <t>'                     Me.Cells(Target.Row, 11).Value = wsRef.Cells(r, 4).Value</t>
  </si>
  <si>
    <t>'                     Exit For</t>
  </si>
  <si>
    <t>'                 End If</t>
  </si>
  <si>
    <t>'             Next r</t>
  </si>
  <si>
    <t>'         End If</t>
  </si>
  <si>
    <t>'     End If</t>
  </si>
  <si>
    <t>Atualizado em 23 de setembro de 2026</t>
  </si>
  <si>
    <t>Atualizado em 23 de setembro de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</si>
</sst>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-mm\-yyyy"/>
    <numFmt numFmtId="165" formatCode="#,##0.00&quot; €&quot;"/>
    <numFmt numFmtId="166" formatCode="0&quot; dias&quot;"/>
    <numFmt numFmtId="167" formatCode="0\%"/>
    <numFmt numFmtId="168" formatCode="m/d/yyyy"/>
    <numFmt numFmtId="169" formatCode="#,##0.00\ &quot;€&quot;"/>
    <numFmt numFmtId="170" formatCode="#,##0.00\ &quot;€&quot;"/>
  </numFmts>
  <fonts count="65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  <charset val="1"/>
    </font>
    <font>
      <i/>
      <sz val="10"/>
      <color rgb="FFFFFFFF"/>
      <name val="Arial"/>
      <family val="2"/>
      <charset val="1"/>
    </font>
    <font>
      <sz val="9"/>
      <name val="Arial"/>
      <family val="2"/>
      <charset val="1"/>
    </font>
    <font>
      <b/>
      <i/>
      <sz val="9"/>
      <color rgb="FFC55A11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10"/>
      <color rgb="FF9C0006"/>
      <name val="Arial"/>
      <family val="2"/>
      <charset val="1"/>
    </font>
    <font>
      <b/>
      <sz val="10"/>
      <color rgb="FF7F6000"/>
      <name val="Arial"/>
      <family val="2"/>
      <charset val="1"/>
    </font>
    <font>
      <b/>
      <sz val="36"/>
      <color rgb="FF375623"/>
      <name val="Arial"/>
      <family val="2"/>
      <charset val="1"/>
    </font>
    <font>
      <b/>
      <sz val="36"/>
      <color rgb="FF9C0006"/>
      <name val="Arial"/>
      <family val="2"/>
      <charset val="1"/>
    </font>
    <font>
      <b/>
      <sz val="36"/>
      <color rgb="FF7F6000"/>
      <name val="Arial"/>
      <family val="2"/>
      <charset val="1"/>
    </font>
    <font>
      <b/>
      <sz val="12"/>
      <color rgb="FF375623"/>
      <name val="Arial"/>
      <family val="2"/>
      <charset val="1"/>
    </font>
    <font>
      <b/>
      <sz val="8"/>
      <color rgb="FFFFFFFF"/>
      <name val="Arial"/>
      <family val="2"/>
      <charset val="1"/>
    </font>
    <font>
      <sz val="9"/>
      <name val="Arial"/>
      <family val="2"/>
    </font>
    <font>
      <b/>
      <sz val="12"/>
      <color rgb="FF9C0006"/>
      <name val="Arial"/>
      <family val="2"/>
      <charset val="1"/>
    </font>
    <font>
      <b/>
      <sz val="12"/>
      <color rgb="FF7F6000"/>
      <name val="Arial"/>
      <family val="2"/>
      <charset val="1"/>
    </font>
    <font>
      <i/>
      <sz val="8"/>
      <color rgb="FF1F3864"/>
      <name val="Arial"/>
      <family val="2"/>
      <charset val="1"/>
    </font>
    <font>
      <b/>
      <sz val="14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9"/>
      <color rgb="FFFFFFFF"/>
      <name val="Arial"/>
      <family val="2"/>
      <charset val="1"/>
    </font>
    <font>
      <u/>
      <sz val="11"/>
      <color theme="10"/>
      <name val="Calibri"/>
      <family val="2"/>
      <charset val="1"/>
    </font>
    <font>
      <sz val="11"/>
      <color rgb="FF222222"/>
      <name val="Arial"/>
      <family val="2"/>
      <charset val="1"/>
    </font>
    <font>
      <b/>
      <sz val="20"/>
      <color rgb="FFFFFFFF"/>
      <name val="Arial"/>
      <family val="2"/>
    </font>
    <font>
      <b/>
      <sz val="20"/>
      <color rgb="FFFFFFFF"/>
      <name val="Arial"/>
      <family val="2"/>
      <charset val="1"/>
    </font>
    <font>
      <b/>
      <sz val="18"/>
      <color rgb="FFFFFFFF"/>
      <name val="Arial"/>
      <family val="2"/>
      <charset val="1"/>
    </font>
    <font>
      <b/>
      <sz val="9"/>
      <color rgb="FF000000"/>
      <name val="Arial"/>
      <family val="2"/>
    </font>
    <font>
      <b/>
      <i/>
      <sz val="9"/>
      <color rgb="FF000000"/>
      <name val="Arial"/>
      <family val="2"/>
      <charset val="1"/>
    </font>
    <font>
      <i/>
      <sz val="8"/>
      <color rgb="FF8DB4E2"/>
      <name val="Arial"/>
      <family val="2"/>
      <charset val="1"/>
    </font>
    <font>
      <b/>
      <sz val="20"/>
      <color rgb="FF5B4636"/>
      <name val="Arial"/>
      <family val="2"/>
      <charset val="1"/>
    </font>
    <font>
      <i/>
      <sz val="12"/>
      <color rgb="FF8B7355"/>
      <name val="Arial"/>
      <family val="2"/>
      <charset val="1"/>
    </font>
    <font>
      <b/>
      <sz val="40"/>
      <color rgb="FF5B4636"/>
      <name val="Arial"/>
      <family val="2"/>
      <charset val="1"/>
    </font>
    <font>
      <b/>
      <sz val="30"/>
      <color rgb="FF5B4636"/>
      <name val="Arial"/>
      <family val="2"/>
      <charset val="1"/>
    </font>
    <font>
      <b/>
      <i/>
      <sz val="8"/>
      <color rgb="FFC55A11"/>
      <name val="Arial"/>
      <family val="2"/>
      <charset val="1"/>
    </font>
    <font>
      <b/>
      <sz val="13"/>
      <color rgb="FFFFFFFF"/>
      <name val="Arial"/>
      <family val="2"/>
      <charset val="1"/>
    </font>
    <font>
      <i/>
      <sz val="9"/>
      <color rgb="FF1F3864"/>
      <name val="Arial"/>
      <family val="2"/>
      <charset val="1"/>
    </font>
    <font>
      <sz val="9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8"/>
      <color rgb="FF375623"/>
      <name val="Arial"/>
      <family val="2"/>
      <charset val="1"/>
    </font>
    <font>
      <b/>
      <sz val="8"/>
      <color rgb="FF4B0082"/>
      <name val="Arial"/>
      <family val="2"/>
      <charset val="1"/>
    </font>
    <font>
      <b/>
      <sz val="8"/>
      <color rgb="FF9C0006"/>
      <name val="Arial"/>
      <family val="2"/>
      <charset val="1"/>
    </font>
    <font>
      <b/>
      <sz val="8"/>
      <color rgb="FF1F3864"/>
      <name val="Arial"/>
      <family val="2"/>
      <charset val="1"/>
    </font>
    <font>
      <b/>
      <sz val="20"/>
      <color rgb="FF375623"/>
      <name val="Arial"/>
      <family val="2"/>
      <charset val="1"/>
    </font>
    <font>
      <b/>
      <sz val="20"/>
      <color rgb="FF4B0082"/>
      <name val="Arial"/>
      <family val="2"/>
      <charset val="1"/>
    </font>
    <font>
      <b/>
      <sz val="20"/>
      <color rgb="FF9C0006"/>
      <name val="Arial"/>
      <family val="2"/>
      <charset val="1"/>
    </font>
    <font>
      <b/>
      <sz val="20"/>
      <color rgb="FF1F3864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C55A11"/>
      <name val="Arial"/>
      <family val="2"/>
      <charset val="1"/>
    </font>
    <font>
      <i/>
      <sz val="10"/>
      <color rgb="FF808080"/>
      <name val="Arial"/>
      <family val="2"/>
      <charset val="1"/>
    </font>
    <font>
      <i/>
      <sz val="9"/>
      <color rgb="FF808080"/>
      <name val="Arial"/>
      <family val="2"/>
      <charset val="1"/>
    </font>
    <font>
      <b/>
      <sz val="12"/>
      <color rgb="FFFFFFFF"/>
      <name val="Arial"/>
      <family val="2"/>
      <charset val="1"/>
    </font>
    <font>
      <sz val="9"/>
      <color rgb="FF000000"/>
      <name val="Courier New"/>
      <family val="3"/>
      <charset val="1"/>
    </font>
    <font>
      <i/>
      <sz val="9"/>
      <color rgb="FF375623"/>
      <name val="Courier New"/>
      <family val="3"/>
      <charset val="1"/>
    </font>
    <font>
      <b/>
      <sz val="9"/>
      <color rgb="FF1F3864"/>
      <name val="Courier New"/>
      <family val="3"/>
      <charset val="1"/>
    </font>
    <font>
      <b/>
      <sz val="9"/>
      <color rgb="FF375623"/>
      <name val="Arial"/>
      <family val="2"/>
    </font>
    <font>
      <b/>
      <sz val="9"/>
      <color rgb="FF9C0006"/>
      <name val="Arial"/>
      <family val="2"/>
    </font>
    <font>
      <b/>
      <sz val="20"/>
      <color rgb="FF5B4636"/>
      <name val="Arial"/>
      <family val="2"/>
    </font>
    <font>
      <i/>
      <sz val="12"/>
      <color rgb="FF8B7355"/>
      <name val="Arial"/>
      <family val="2"/>
    </font>
    <font>
      <b/>
      <sz val="30"/>
      <color rgb="FF5B4636"/>
      <name val="Arial"/>
      <family val="2"/>
    </font>
    <font>
      <b/>
      <sz val="40"/>
      <color rgb="FF5B4636"/>
      <name val="Arial"/>
      <family val="2"/>
    </font>
    <font>
      <b/>
      <sz val="20"/>
      <color rgb="FFFFFFFF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sz val="9"/>
      <color rgb="FF375623"/>
      <name val="Arial"/>
      <family val="2"/>
    </font>
    <font>
      <sz val="9"/>
      <color rgb="FF9C000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1F3864"/>
        <bgColor rgb="FF17375E"/>
      </patternFill>
    </fill>
    <fill>
      <patternFill patternType="solid">
        <fgColor rgb="FF2E75B6"/>
        <bgColor rgb="FF008080"/>
      </patternFill>
    </fill>
    <fill>
      <patternFill patternType="solid">
        <fgColor rgb="FFFFFFFF"/>
        <bgColor rgb="FFF2F2F2"/>
      </patternFill>
    </fill>
    <fill>
      <patternFill patternType="solid">
        <fgColor rgb="FFFCE4D6"/>
        <bgColor rgb="FFF5F0E1"/>
      </patternFill>
    </fill>
    <fill>
      <patternFill patternType="solid">
        <fgColor rgb="FFE2EFDA"/>
        <bgColor rgb="FFDDEBF7"/>
      </patternFill>
    </fill>
    <fill>
      <patternFill patternType="solid">
        <fgColor rgb="FFFFC7CE"/>
        <bgColor rgb="FFE8D5F5"/>
      </patternFill>
    </fill>
    <fill>
      <patternFill patternType="solid">
        <fgColor rgb="FFFFEB9C"/>
        <bgColor rgb="FFFCE4D6"/>
      </patternFill>
    </fill>
    <fill>
      <patternFill patternType="solid">
        <fgColor rgb="FF375623"/>
        <bgColor rgb="FF5B4636"/>
      </patternFill>
    </fill>
    <fill>
      <patternFill patternType="solid">
        <fgColor rgb="FFF2F2F2"/>
        <bgColor rgb="FFF5F0E1"/>
      </patternFill>
    </fill>
    <fill>
      <patternFill patternType="solid">
        <fgColor rgb="FF7F6000"/>
        <bgColor rgb="FF8B7355"/>
      </patternFill>
    </fill>
    <fill>
      <patternFill patternType="solid">
        <fgColor rgb="FFBDD7EE"/>
        <bgColor rgb="FFC6D9F1"/>
      </patternFill>
    </fill>
    <fill>
      <patternFill patternType="solid">
        <fgColor rgb="FF17375E"/>
        <bgColor rgb="FF1F3864"/>
      </patternFill>
    </fill>
    <fill>
      <patternFill patternType="solid">
        <fgColor rgb="FFE8D5F5"/>
        <bgColor rgb="FFDDEBF7"/>
      </patternFill>
    </fill>
    <fill>
      <patternFill patternType="solid">
        <fgColor theme="3" tint="0.79979857783745845"/>
        <bgColor rgb="FFBDD7EE"/>
      </patternFill>
    </fill>
    <fill>
      <patternFill patternType="solid">
        <fgColor rgb="FFE2EFDA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5F0E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medium">
        <color rgb="FF2E75B6"/>
      </left>
      <right/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7375E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B4636"/>
      </left>
      <right style="medium">
        <color rgb="FF5B4636"/>
      </right>
      <top style="medium">
        <color rgb="FF5B4636"/>
      </top>
      <bottom/>
      <diagonal/>
    </border>
    <border>
      <left style="medium">
        <color rgb="FF5B4636"/>
      </left>
      <right style="medium">
        <color rgb="FF5B4636"/>
      </right>
      <top/>
      <bottom/>
      <diagonal/>
    </border>
    <border>
      <left style="medium">
        <color rgb="FF5B4636"/>
      </left>
      <right style="medium">
        <color rgb="FF5B4636"/>
      </right>
      <top/>
      <bottom style="medium">
        <color rgb="FF5B4636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3" fillId="4" borderId="0" xfId="0" applyFont="1" applyFill="1"/>
    <xf numFmtId="0" fontId="12" fillId="9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vertical="center"/>
    </xf>
    <xf numFmtId="164" fontId="13" fillId="4" borderId="3" xfId="0" applyNumberFormat="1" applyFont="1" applyFill="1" applyBorder="1" applyAlignment="1">
      <alignment vertical="center"/>
    </xf>
    <xf numFmtId="9" fontId="13" fillId="4" borderId="3" xfId="0" applyNumberFormat="1" applyFont="1" applyFill="1" applyBorder="1" applyAlignment="1">
      <alignment vertical="center"/>
    </xf>
    <xf numFmtId="0" fontId="13" fillId="10" borderId="3" xfId="0" applyFont="1" applyFill="1" applyBorder="1" applyAlignment="1">
      <alignment vertical="center"/>
    </xf>
    <xf numFmtId="164" fontId="13" fillId="10" borderId="3" xfId="0" applyNumberFormat="1" applyFont="1" applyFill="1" applyBorder="1" applyAlignment="1">
      <alignment vertical="center"/>
    </xf>
    <xf numFmtId="9" fontId="13" fillId="10" borderId="3" xfId="0" applyNumberFormat="1" applyFont="1" applyFill="1" applyBorder="1" applyAlignment="1">
      <alignment vertical="center"/>
    </xf>
    <xf numFmtId="0" fontId="12" fillId="11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164" fontId="3" fillId="4" borderId="2" xfId="0" applyNumberFormat="1" applyFont="1" applyFill="1" applyBorder="1" applyAlignment="1">
      <alignment horizontal="left" vertical="center"/>
    </xf>
    <xf numFmtId="166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7" fontId="3" fillId="4" borderId="2" xfId="0" applyNumberFormat="1" applyFont="1" applyFill="1" applyBorder="1" applyAlignment="1">
      <alignment horizontal="left" vertical="center"/>
    </xf>
    <xf numFmtId="165" fontId="3" fillId="4" borderId="4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 wrapText="1" indent="1"/>
    </xf>
    <xf numFmtId="0" fontId="24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35" fillId="10" borderId="2" xfId="0" applyFont="1" applyFill="1" applyBorder="1" applyAlignment="1">
      <alignment horizontal="left" vertical="center"/>
    </xf>
    <xf numFmtId="168" fontId="35" fillId="10" borderId="2" xfId="0" applyNumberFormat="1" applyFont="1" applyFill="1" applyBorder="1" applyAlignment="1">
      <alignment horizontal="left" vertical="center"/>
    </xf>
    <xf numFmtId="165" fontId="35" fillId="10" borderId="2" xfId="0" applyNumberFormat="1" applyFont="1" applyFill="1" applyBorder="1" applyAlignment="1">
      <alignment horizontal="left" vertical="center"/>
    </xf>
    <xf numFmtId="0" fontId="35" fillId="4" borderId="2" xfId="0" applyFont="1" applyFill="1" applyBorder="1" applyAlignment="1">
      <alignment horizontal="left" vertical="center"/>
    </xf>
    <xf numFmtId="168" fontId="35" fillId="4" borderId="2" xfId="0" applyNumberFormat="1" applyFont="1" applyFill="1" applyBorder="1" applyAlignment="1">
      <alignment horizontal="left" vertical="center"/>
    </xf>
    <xf numFmtId="165" fontId="35" fillId="4" borderId="2" xfId="0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horizontal="left" vertical="center"/>
    </xf>
    <xf numFmtId="168" fontId="35" fillId="10" borderId="0" xfId="0" applyNumberFormat="1" applyFont="1" applyFill="1" applyAlignment="1">
      <alignment horizontal="left" vertical="center"/>
    </xf>
    <xf numFmtId="165" fontId="35" fillId="10" borderId="0" xfId="0" applyNumberFormat="1" applyFont="1" applyFill="1" applyAlignment="1">
      <alignment horizontal="left" vertical="center"/>
    </xf>
    <xf numFmtId="0" fontId="36" fillId="2" borderId="2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45" fillId="6" borderId="2" xfId="0" applyFont="1" applyFill="1" applyBorder="1" applyAlignment="1">
      <alignment vertical="center"/>
    </xf>
    <xf numFmtId="0" fontId="46" fillId="0" borderId="2" xfId="0" applyFont="1" applyBorder="1" applyAlignment="1">
      <alignment horizontal="left" vertical="center"/>
    </xf>
    <xf numFmtId="0" fontId="47" fillId="5" borderId="2" xfId="0" applyFont="1" applyFill="1" applyBorder="1" applyAlignment="1">
      <alignment horizontal="center" vertical="center"/>
    </xf>
    <xf numFmtId="0" fontId="45" fillId="0" borderId="2" xfId="0" applyFont="1" applyBorder="1"/>
    <xf numFmtId="0" fontId="45" fillId="7" borderId="2" xfId="0" applyFont="1" applyFill="1" applyBorder="1" applyAlignment="1">
      <alignment vertical="center"/>
    </xf>
    <xf numFmtId="0" fontId="48" fillId="0" borderId="0" xfId="0" applyFont="1"/>
    <xf numFmtId="0" fontId="45" fillId="10" borderId="2" xfId="0" applyFont="1" applyFill="1" applyBorder="1" applyAlignment="1">
      <alignment vertical="center"/>
    </xf>
    <xf numFmtId="0" fontId="46" fillId="15" borderId="2" xfId="0" applyFont="1" applyFill="1" applyBorder="1" applyAlignment="1">
      <alignment horizontal="left" vertical="center"/>
    </xf>
    <xf numFmtId="0" fontId="49" fillId="0" borderId="0" xfId="0" applyFont="1" applyAlignment="1">
      <alignment vertical="center"/>
    </xf>
    <xf numFmtId="0" fontId="49" fillId="0" borderId="0" xfId="0" applyFont="1"/>
    <xf numFmtId="0" fontId="50" fillId="2" borderId="2" xfId="0" applyFont="1" applyFill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6" fillId="18" borderId="5" xfId="0" applyFont="1" applyFill="1" applyBorder="1" applyAlignment="1">
      <alignment horizontal="center" vertical="center" wrapText="1"/>
    </xf>
    <xf numFmtId="0" fontId="57" fillId="18" borderId="6" xfId="0" applyFont="1" applyFill="1" applyBorder="1" applyAlignment="1">
      <alignment horizontal="center" vertical="center" wrapText="1"/>
    </xf>
    <xf numFmtId="0" fontId="58" fillId="18" borderId="7" xfId="0" applyFont="1" applyFill="1" applyBorder="1" applyAlignment="1">
      <alignment horizontal="center" vertical="center"/>
    </xf>
    <xf numFmtId="9" fontId="59" fillId="18" borderId="7" xfId="0" applyNumberFormat="1" applyFont="1" applyFill="1" applyBorder="1" applyAlignment="1">
      <alignment horizontal="center" vertical="center"/>
    </xf>
    <xf numFmtId="9" fontId="56" fillId="18" borderId="7" xfId="0" applyNumberFormat="1" applyFont="1" applyFill="1" applyBorder="1" applyAlignment="1">
      <alignment horizontal="center" vertical="center"/>
    </xf>
    <xf numFmtId="9" fontId="58" fillId="18" borderId="7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60" fillId="19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61" fillId="20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5" borderId="0" xfId="0" applyFont="1" applyFill="1" applyAlignment="1">
      <alignment horizontal="center" vertical="center"/>
    </xf>
    <xf numFmtId="165" fontId="41" fillId="6" borderId="1" xfId="0" applyNumberFormat="1" applyFont="1" applyFill="1" applyBorder="1" applyAlignment="1">
      <alignment horizontal="center" vertical="center"/>
    </xf>
    <xf numFmtId="1" fontId="42" fillId="14" borderId="1" xfId="0" applyNumberFormat="1" applyFont="1" applyFill="1" applyBorder="1" applyAlignment="1">
      <alignment horizontal="center" vertical="center"/>
    </xf>
    <xf numFmtId="165" fontId="43" fillId="7" borderId="1" xfId="0" applyNumberFormat="1" applyFont="1" applyFill="1" applyBorder="1" applyAlignment="1">
      <alignment horizontal="center" vertical="center"/>
    </xf>
    <xf numFmtId="1" fontId="44" fillId="12" borderId="1" xfId="0" applyNumberFormat="1" applyFont="1" applyFill="1" applyBorder="1" applyAlignment="1">
      <alignment horizontal="center" vertical="center"/>
    </xf>
    <xf numFmtId="0" fontId="33" fillId="13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left" vertical="center" wrapText="1"/>
    </xf>
    <xf numFmtId="0" fontId="36" fillId="13" borderId="0" xfId="0" applyFont="1" applyFill="1" applyAlignment="1">
      <alignment horizontal="center" vertical="center"/>
    </xf>
    <xf numFmtId="0" fontId="37" fillId="6" borderId="8" xfId="0" applyFont="1" applyFill="1" applyBorder="1" applyAlignment="1">
      <alignment horizontal="center" vertical="center"/>
    </xf>
    <xf numFmtId="0" fontId="38" fillId="14" borderId="8" xfId="0" applyFont="1" applyFill="1" applyBorder="1" applyAlignment="1">
      <alignment horizontal="center" vertical="center"/>
    </xf>
    <xf numFmtId="0" fontId="39" fillId="7" borderId="8" xfId="0" applyFont="1" applyFill="1" applyBorder="1" applyAlignment="1">
      <alignment horizontal="center" vertical="center"/>
    </xf>
    <xf numFmtId="0" fontId="40" fillId="12" borderId="8" xfId="0" applyFont="1" applyFill="1" applyBorder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3" fillId="0" borderId="3" xfId="0" applyFont="1" applyFill="1" applyBorder="1" applyAlignment="1">
      <alignment vertical="center"/>
    </xf>
    <xf numFmtId="164" fontId="13" fillId="0" borderId="3" xfId="0" applyNumberFormat="1" applyFont="1" applyFill="1" applyBorder="1" applyAlignment="1">
      <alignment vertical="center"/>
    </xf>
    <xf numFmtId="169" fontId="63" fillId="0" borderId="3" xfId="0" applyNumberFormat="1" applyFont="1" applyFill="1" applyBorder="1" applyAlignment="1">
      <alignment vertical="center"/>
    </xf>
    <xf numFmtId="169" fontId="64" fillId="0" borderId="3" xfId="0" applyNumberFormat="1" applyFont="1" applyFill="1" applyBorder="1" applyAlignment="1">
      <alignment vertical="center"/>
    </xf>
    <xf numFmtId="170" fontId="54" fillId="16" borderId="3" xfId="0" applyNumberFormat="1" applyFont="1" applyFill="1" applyBorder="1" applyAlignment="1">
      <alignment vertical="center"/>
    </xf>
    <xf numFmtId="170" fontId="55" fillId="17" borderId="3" xfId="0" applyNumberFormat="1" applyFont="1" applyFill="1" applyBorder="1" applyAlignment="1">
      <alignment vertical="center"/>
    </xf>
    <xf numFmtId="170" fontId="13" fillId="4" borderId="3" xfId="0" applyNumberFormat="1" applyFont="1" applyFill="1" applyBorder="1" applyAlignment="1">
      <alignment vertical="center"/>
    </xf>
    <xf numFmtId="170" fontId="13" fillId="10" borderId="3" xfId="0" applyNumberFormat="1" applyFont="1" applyFill="1" applyBorder="1" applyAlignment="1">
      <alignment vertical="center"/>
    </xf>
    <xf numFmtId="167" fontId="13" fillId="4" borderId="3" xfId="0" applyNumberFormat="1" applyFont="1" applyFill="1" applyBorder="1" applyAlignment="1">
      <alignment vertical="center"/>
    </xf>
    <xf numFmtId="167" fontId="13" fillId="10" borderId="3" xfId="0" applyNumberFormat="1" applyFont="1" applyFill="1" applyBorder="1" applyAlignment="1">
      <alignment vertical="center"/>
    </xf>
  </cellXfs>
  <cellStyles count="1">
    <cellStyle name="Normal" xfId="0" builtinId="0"/>
  </cellStyles>
  <dxfs count="16"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1F3864"/>
        <name val="Arial"/>
        <charset val="1"/>
      </font>
      <fill>
        <patternFill>
          <bgColor rgb="FFBDD7EE"/>
        </patternFill>
      </fill>
    </dxf>
    <dxf>
      <font>
        <b/>
        <sz val="9"/>
        <color rgb="FF4B0082"/>
        <name val="Arial"/>
        <charset val="1"/>
      </font>
      <fill>
        <patternFill>
          <bgColor rgb="FFE8D5F5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808080"/>
        <name val="Arial"/>
        <charset val="1"/>
      </font>
      <fill>
        <patternFill>
          <bgColor rgb="FFF2F2F2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7F6000"/>
        <name val="Arial"/>
        <charset val="1"/>
      </font>
      <fill>
        <patternFill>
          <bgColor rgb="FFFFEB9C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1F4E78"/>
        <name val="Arial"/>
        <charset val="1"/>
      </font>
      <fill>
        <patternFill>
          <bgColor rgb="FFDDEBF7"/>
        </patternFill>
      </fill>
    </dxf>
    <dxf>
      <font>
        <i/>
        <strike/>
        <sz val="9"/>
        <color rgb="FFA6A6A6"/>
        <name val="Arial"/>
        <charset val="1"/>
      </font>
      <fill>
        <patternFill>
          <bgColor rgb="FFF2F2F2"/>
        </patternFill>
      </fill>
    </dxf>
    <dxf>
      <font>
        <b/>
        <strike val="0"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trike val="0"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5B4636"/>
      <rgbColor rgb="FFF5F0E1"/>
      <rgbColor rgb="FFDDEBF7"/>
      <rgbColor rgb="FF4B0082"/>
      <rgbColor rgb="FFFF8080"/>
      <rgbColor rgb="FF1F4E78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EB9C"/>
      <rgbColor rgb="FF8DB4E2"/>
      <rgbColor rgb="FFE8D5F5"/>
      <rgbColor rgb="FFBDD7EE"/>
      <rgbColor rgb="FFFFC7CE"/>
      <rgbColor rgb="FF2E75B6"/>
      <rgbColor rgb="FF33CCCC"/>
      <rgbColor rgb="FF99CC00"/>
      <rgbColor rgb="FFFCE4D6"/>
      <rgbColor rgb="FFFF9900"/>
      <rgbColor rgb="FFC55A11"/>
      <rgbColor rgb="FF8B7355"/>
      <rgbColor rgb="FFA6A6A6"/>
      <rgbColor rgb="FF17375E"/>
      <rgbColor rgb="FF339966"/>
      <rgbColor rgb="FF003300"/>
      <rgbColor rgb="FF375623"/>
      <rgbColor rgb="FF993300"/>
      <rgbColor rgb="FF993366"/>
      <rgbColor rgb="FF1F3864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5" name="Button 1" descr="Atualizar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6" name="Button 2" descr="Imprimir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7" name="Button 3" descr="Atualizar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8" name="Button 4" descr="Imprimir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9" name="Button 5" descr="Atualizar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0" name="Button 6" descr="Imprimir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1" name="Button 7" descr="Atualizar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2" name="Button 8" descr="Imprimi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3" name="Button 9" descr="Atualiz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4" name="Button 10" descr="Imprimi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5" name="Button 11" descr="Atualiz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6" name="Button 12" descr="Imprimir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7" name="Button 13" descr="Atualiz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78" name="Button 14" descr="Imprimir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79" name="Button 15" descr="Atualiz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80" name="Button 16" descr="Imprimir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4" name="Button 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3" name="Button 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2" name="Button 3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1" name="Button 4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0" name="Button 5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9" name="Button 6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8" name="Button 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7" name="Button 8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6" name="Button 9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5" name="Button 10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4" name="Button 1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3" name="Button 1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52" name="Button 1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51" name="Button 14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700338</xdr:colOff>
          <xdr:row>21</xdr:row>
          <xdr:rowOff>252163</xdr:rowOff>
        </xdr:from>
        <xdr:to>
          <xdr:col>13</xdr:col>
          <xdr:colOff>557463</xdr:colOff>
          <xdr:row>27</xdr:row>
          <xdr:rowOff>19051</xdr:rowOff>
        </xdr:to>
        <xdr:sp macro="" textlink="">
          <xdr:nvSpPr>
            <xdr:cNvPr id="2050" name="Button 15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27</xdr:row>
          <xdr:rowOff>9525</xdr:rowOff>
        </xdr:from>
        <xdr:to>
          <xdr:col>7</xdr:col>
          <xdr:colOff>523875</xdr:colOff>
          <xdr:row>30</xdr:row>
          <xdr:rowOff>190500</xdr:rowOff>
        </xdr:to>
        <xdr:sp macro="" textlink="">
          <xdr:nvSpPr>
            <xdr:cNvPr id="1001" name="Button 8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Campanha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26</xdr:row>
          <xdr:rowOff>104775</xdr:rowOff>
        </xdr:from>
        <xdr:to>
          <xdr:col>6</xdr:col>
          <xdr:colOff>323850</xdr:colOff>
          <xdr:row>31</xdr:row>
          <xdr:rowOff>123825</xdr:rowOff>
        </xdr:to>
        <xdr:sp macro="" textlink="">
          <xdr:nvSpPr>
            <xdr:cNvPr id="1002" name="Button 9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estados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9" name="Button 1" descr="Atualizar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0" name="Button 2" descr="Imprimir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1" name="Button 3" descr="Atualiza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2" name="Button 4" descr="Imprimir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3" name="Button 5" descr="Atualizar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4" name="Button 6" descr="Imprimir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5" name="Button 7" descr="Atualizar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6" name="Button 8" descr="Imprimir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7" name="Button 9" descr="Atualizar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98" name="Button 10" descr="Imprimir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99" name="Button 11" descr="Atualizar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100" name="Button 12" descr="Imprimir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101" name="Button 13" descr="Atualizar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102" name="Button 14" descr="Imprimir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103" name="Button 15" descr="Atualizar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104" name="Button 16" descr="Imprimir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8" name="Button 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7" name="Button 2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6" name="Button 3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5" name="Button 4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4" name="Button 5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3" name="Button 6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2" name="Button 7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1" name="Button 8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0" name="Button 9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9" name="Button 10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78" name="Button 1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7" name="Button 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76" name="Button 1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5" name="Button 14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74" name="Button 15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73" name="Button 16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5" name="Button 2" descr="Novo registo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6" name="Button 1" descr="Novo registo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7" name="Button 3" descr="Novo registo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8" name="Button 4" descr="Novo registo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9" name="Button 5" descr="Novo registo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10" name="Button 6" descr="Novo registo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11" name="Button 7" descr="Novo registo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12" name="Button 8" descr="Novo registo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4" name="Button 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3" name="Button 1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2" name="Button 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1" name="Button 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0" name="Button 5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099" name="Button 6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098" name="Button 7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097" name="Button 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istorico_Movimentos" displayName="Historico_Movimentos" ref="A3:K8" totalsRowShown="0">
  <autoFilter ref="A3:K8" xr:uid="{00000000-0009-0000-0100-000001000000}"/>
  <tableColumns count="11">
    <tableColumn id="1" xr3:uid="{00000000-0010-0000-0000-000001000000}" name="ID Movimento"/>
    <tableColumn id="2" xr3:uid="{00000000-0010-0000-0000-000002000000}" name="ID Campanha"/>
    <tableColumn id="3" xr3:uid="{00000000-0010-0000-0000-000003000000}" name="Nome Campanha"/>
    <tableColumn id="4" xr3:uid="{00000000-0010-0000-0000-000004000000}" name="Marca / Lab."/>
    <tableColumn id="5" xr3:uid="{00000000-0010-0000-0000-000005000000}" name="Data Movimento"/>
    <tableColumn id="6" xr3:uid="{00000000-0010-0000-0000-000006000000}" name="Tipo Movimento"/>
    <tableColumn id="7" xr3:uid="{00000000-0010-0000-0000-000007000000}" name="Montante €"/>
    <tableColumn id="8" xr3:uid="{00000000-0010-0000-0000-000008000000}" name="Qtd. Produto"/>
    <tableColumn id="9" xr3:uid="{00000000-0010-0000-0000-000009000000}" name="Ref. Documento"/>
    <tableColumn id="10" xr3:uid="{00000000-0010-0000-0000-00000A000000}" name="Registado por"/>
    <tableColumn id="11" xr3:uid="{00000000-0010-0000-0000-00000B000000}" name="Observaçõ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Relationship Id="rId26" Type="http://schemas.openxmlformats.org/officeDocument/2006/relationships/ctrlProp" Target="../ctrlProps/ctrlProp5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1.xml"/><Relationship Id="rId34" Type="http://schemas.openxmlformats.org/officeDocument/2006/relationships/ctrlProp" Target="../ctrlProps/ctrlProp64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17" Type="http://schemas.openxmlformats.org/officeDocument/2006/relationships/ctrlProp" Target="../ctrlProps/ctrlProp47.xml"/><Relationship Id="rId25" Type="http://schemas.openxmlformats.org/officeDocument/2006/relationships/ctrlProp" Target="../ctrlProps/ctrlProp55.xml"/><Relationship Id="rId33" Type="http://schemas.openxmlformats.org/officeDocument/2006/relationships/ctrlProp" Target="../ctrlProps/ctrlProp6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6.xml"/><Relationship Id="rId20" Type="http://schemas.openxmlformats.org/officeDocument/2006/relationships/ctrlProp" Target="../ctrlProps/ctrlProp50.xml"/><Relationship Id="rId29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24" Type="http://schemas.openxmlformats.org/officeDocument/2006/relationships/ctrlProp" Target="../ctrlProps/ctrlProp54.xml"/><Relationship Id="rId32" Type="http://schemas.openxmlformats.org/officeDocument/2006/relationships/ctrlProp" Target="../ctrlProps/ctrlProp62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23" Type="http://schemas.openxmlformats.org/officeDocument/2006/relationships/ctrlProp" Target="../ctrlProps/ctrlProp53.xml"/><Relationship Id="rId28" Type="http://schemas.openxmlformats.org/officeDocument/2006/relationships/ctrlProp" Target="../ctrlProps/ctrlProp58.xml"/><Relationship Id="rId10" Type="http://schemas.openxmlformats.org/officeDocument/2006/relationships/ctrlProp" Target="../ctrlProps/ctrlProp40.xml"/><Relationship Id="rId19" Type="http://schemas.openxmlformats.org/officeDocument/2006/relationships/ctrlProp" Target="../ctrlProps/ctrlProp49.xml"/><Relationship Id="rId31" Type="http://schemas.openxmlformats.org/officeDocument/2006/relationships/ctrlProp" Target="../ctrlProps/ctrlProp61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Relationship Id="rId22" Type="http://schemas.openxmlformats.org/officeDocument/2006/relationships/ctrlProp" Target="../ctrlProps/ctrlProp52.xml"/><Relationship Id="rId27" Type="http://schemas.openxmlformats.org/officeDocument/2006/relationships/ctrlProp" Target="../ctrlProps/ctrlProp57.xml"/><Relationship Id="rId30" Type="http://schemas.openxmlformats.org/officeDocument/2006/relationships/ctrlProp" Target="../ctrlProps/ctrlProp60.xml"/><Relationship Id="rId35" Type="http://schemas.openxmlformats.org/officeDocument/2006/relationships/ctrlProp" Target="../ctrlProps/ctrlProp65.xml"/><Relationship Id="rId8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13" Type="http://schemas.openxmlformats.org/officeDocument/2006/relationships/ctrlProp" Target="../ctrlProps/ctrlProp76.xml"/><Relationship Id="rId18" Type="http://schemas.openxmlformats.org/officeDocument/2006/relationships/ctrlProp" Target="../ctrlProps/ctrlProp81.xml"/><Relationship Id="rId3" Type="http://schemas.openxmlformats.org/officeDocument/2006/relationships/ctrlProp" Target="../ctrlProps/ctrlProp66.xml"/><Relationship Id="rId7" Type="http://schemas.openxmlformats.org/officeDocument/2006/relationships/ctrlProp" Target="../ctrlProps/ctrlProp70.xml"/><Relationship Id="rId12" Type="http://schemas.openxmlformats.org/officeDocument/2006/relationships/ctrlProp" Target="../ctrlProps/ctrlProp75.xml"/><Relationship Id="rId17" Type="http://schemas.openxmlformats.org/officeDocument/2006/relationships/ctrlProp" Target="../ctrlProps/ctrlProp80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79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9.xml"/><Relationship Id="rId11" Type="http://schemas.openxmlformats.org/officeDocument/2006/relationships/ctrlProp" Target="../ctrlProps/ctrlProp74.xml"/><Relationship Id="rId5" Type="http://schemas.openxmlformats.org/officeDocument/2006/relationships/ctrlProp" Target="../ctrlProps/ctrlProp68.xml"/><Relationship Id="rId15" Type="http://schemas.openxmlformats.org/officeDocument/2006/relationships/ctrlProp" Target="../ctrlProps/ctrlProp78.xml"/><Relationship Id="rId10" Type="http://schemas.openxmlformats.org/officeDocument/2006/relationships/ctrlProp" Target="../ctrlProps/ctrlProp73.xml"/><Relationship Id="rId19" Type="http://schemas.openxmlformats.org/officeDocument/2006/relationships/table" Target="../tables/table1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Relationship Id="rId14" Type="http://schemas.openxmlformats.org/officeDocument/2006/relationships/ctrlProp" Target="../ctrlProps/ctrlProp7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9">
    <pageSetUpPr fitToPage="1"/>
  </sheetPr>
  <dimension ref="A1:L49"/>
  <sheetViews>
    <sheetView showGridLines="0" tabSelected="1" topLeftCell="A5" zoomScale="95" zoomScaleNormal="95" workbookViewId="0">
      <selection activeCell="Q11" sqref="Q11"/>
    </sheetView>
  </sheetViews>
  <sheetFormatPr defaultColWidth="8.7109375" defaultRowHeight="15" x14ac:dyDescent="0.25"/>
  <cols>
    <col min="1" max="1" width="3" customWidth="1"/>
    <col min="2" max="2" width="10" customWidth="1"/>
    <col min="3" max="3" width="26" customWidth="1"/>
    <col min="4" max="5" width="14" customWidth="1"/>
    <col min="6" max="7" width="13" customWidth="1"/>
    <col min="8" max="8" width="15" customWidth="1"/>
    <col min="9" max="10" width="14" customWidth="1"/>
    <col min="11" max="11" width="15" customWidth="1"/>
    <col min="12" max="12" width="20" customWidth="1"/>
  </cols>
  <sheetData>
    <row r="1" spans="1:12" ht="42" customHeight="1" x14ac:dyDescent="0.25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2" ht="19.5" customHeight="1" x14ac:dyDescent="0.25">
      <c r="A2" s="68" t="s">
        <v>575</v>
      </c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2" ht="21.75" customHeight="1" x14ac:dyDescent="0.25">
      <c r="A3" s="1"/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</row>
    <row r="4" spans="1:12" ht="24" customHeight="1" x14ac:dyDescent="0.25">
      <c r="A4" s="1"/>
      <c r="B4" s="70" t="s">
        <v>2</v>
      </c>
      <c r="C4" s="70"/>
      <c r="D4" s="70"/>
      <c r="E4" s="71" t="s">
        <v>3</v>
      </c>
      <c r="F4" s="71"/>
      <c r="G4" s="71"/>
      <c r="H4" s="72" t="s">
        <v>4</v>
      </c>
      <c r="I4" s="72"/>
      <c r="J4" s="72"/>
      <c r="K4" s="72"/>
    </row>
    <row r="5" spans="1:12" ht="48" customHeight="1" x14ac:dyDescent="0.25">
      <c r="A5" s="1"/>
      <c r="B5" s="75">
        <f>COUNTIF(Gestão!G4:G982,"Ativa")</f>
        <v>6</v>
      </c>
      <c r="C5" s="75"/>
      <c r="D5" s="75"/>
      <c r="E5" s="76">
        <f>COUNTIFS(Gestão!G4:G982,"Terminada",Gestão!V4:V982,"&lt;&gt;Liquidada")</f>
        <v>4</v>
      </c>
      <c r="F5" s="76"/>
      <c r="G5" s="76"/>
      <c r="H5" s="77">
        <f ca="1">COUNTIFS(Gestão!F4:F982,"&lt;="&amp;Referências!E2,Gestão!F4:F982,"&gt;"&amp;0,Gestão!G4:G982,"Ativa")</f>
        <v>3</v>
      </c>
      <c r="I5" s="77"/>
      <c r="J5" s="77"/>
      <c r="K5" s="77"/>
    </row>
    <row r="6" spans="1:12" ht="9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2" ht="7.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2" ht="24" customHeight="1" x14ac:dyDescent="0.25">
      <c r="A8" s="1"/>
      <c r="B8" s="78" t="s">
        <v>2</v>
      </c>
      <c r="C8" s="78"/>
      <c r="D8" s="78"/>
      <c r="E8" s="78"/>
      <c r="F8" s="78"/>
      <c r="G8" s="78"/>
      <c r="H8" s="78"/>
      <c r="I8" s="78"/>
      <c r="J8" s="78"/>
      <c r="K8" s="78"/>
      <c r="L8" s="78"/>
    </row>
    <row r="9" spans="1:12" ht="21.75" customHeight="1" x14ac:dyDescent="0.25">
      <c r="A9" s="1"/>
      <c r="B9" s="2" t="s">
        <v>5</v>
      </c>
      <c r="C9" s="2" t="s">
        <v>6</v>
      </c>
      <c r="D9" s="2" t="s">
        <v>7</v>
      </c>
      <c r="E9" s="2" t="s">
        <v>8</v>
      </c>
      <c r="F9" s="2" t="s">
        <v>9</v>
      </c>
      <c r="G9" s="2" t="s">
        <v>10</v>
      </c>
      <c r="H9" s="2" t="s">
        <v>11</v>
      </c>
      <c r="I9" s="2" t="s">
        <v>12</v>
      </c>
      <c r="J9" s="2" t="s">
        <v>13</v>
      </c>
      <c r="K9" s="2" t="s">
        <v>14</v>
      </c>
      <c r="L9" s="2" t="s">
        <v>15</v>
      </c>
    </row>
    <row r="10" spans="1:12" ht="16.5" customHeight="1" x14ac:dyDescent="0.25">
      <c r="A10" s="1"/>
      <c r="B10" s="3" t="s">
        <v>16</v>
      </c>
      <c r="C10" s="3" t="s">
        <v>17</v>
      </c>
      <c r="D10" s="3" t="s">
        <v>18</v>
      </c>
      <c r="E10" s="4">
        <v>46295</v>
      </c>
      <c r="F10" s="3">
        <v>8</v>
      </c>
      <c r="G10" s="108">
        <v>35</v>
      </c>
      <c r="H10" s="108">
        <v>40</v>
      </c>
      <c r="I10" s="5"/>
      <c r="J10" s="3" t="s">
        <v>19</v>
      </c>
      <c r="K10" s="106"/>
      <c r="L10" s="3" t="s">
        <v>20</v>
      </c>
    </row>
    <row r="11" spans="1:12" ht="16.5" customHeight="1" x14ac:dyDescent="0.25">
      <c r="A11" s="1"/>
      <c r="B11" s="6" t="s">
        <v>21</v>
      </c>
      <c r="C11" s="6" t="s">
        <v>22</v>
      </c>
      <c r="D11" s="6" t="s">
        <v>18</v>
      </c>
      <c r="E11" s="7">
        <v>46295</v>
      </c>
      <c r="F11" s="6">
        <v>8</v>
      </c>
      <c r="G11" s="109">
        <v>30</v>
      </c>
      <c r="H11" s="8"/>
      <c r="I11" s="8"/>
      <c r="J11" s="6" t="s">
        <v>19</v>
      </c>
      <c r="K11" s="107"/>
      <c r="L11" s="6" t="s">
        <v>20</v>
      </c>
    </row>
    <row r="12" spans="1:12" ht="16.5" customHeight="1" x14ac:dyDescent="0.25">
      <c r="A12" s="1"/>
      <c r="B12" s="3" t="s">
        <v>23</v>
      </c>
      <c r="C12" s="3" t="s">
        <v>24</v>
      </c>
      <c r="D12" s="3" t="s">
        <v>25</v>
      </c>
      <c r="E12" s="4">
        <v>46295</v>
      </c>
      <c r="F12" s="3">
        <v>8</v>
      </c>
      <c r="G12" s="108">
        <v>30</v>
      </c>
      <c r="H12" s="5"/>
      <c r="I12" s="5"/>
      <c r="J12" s="3" t="s">
        <v>26</v>
      </c>
      <c r="K12" s="106"/>
      <c r="L12" s="3" t="s">
        <v>20</v>
      </c>
    </row>
    <row r="13" spans="1:12" ht="16.5" customHeight="1" x14ac:dyDescent="0.25">
      <c r="A13" s="1"/>
      <c r="B13" s="6" t="s">
        <v>27</v>
      </c>
      <c r="C13" s="6" t="s">
        <v>28</v>
      </c>
      <c r="D13" s="6" t="s">
        <v>29</v>
      </c>
      <c r="E13" s="7">
        <v>46326</v>
      </c>
      <c r="F13" s="6">
        <v>39</v>
      </c>
      <c r="G13" s="109">
        <v>30</v>
      </c>
      <c r="H13" s="8"/>
      <c r="I13" s="8"/>
      <c r="J13" s="6" t="s">
        <v>30</v>
      </c>
      <c r="K13" s="107"/>
      <c r="L13" s="6" t="s">
        <v>20</v>
      </c>
    </row>
    <row r="14" spans="1:12" ht="16.5" customHeight="1" x14ac:dyDescent="0.25">
      <c r="A14" s="1"/>
      <c r="B14" s="3" t="s">
        <v>31</v>
      </c>
      <c r="C14" s="3" t="s">
        <v>32</v>
      </c>
      <c r="D14" s="3" t="s">
        <v>33</v>
      </c>
      <c r="E14" s="4">
        <v>46356</v>
      </c>
      <c r="F14" s="3">
        <v>69</v>
      </c>
      <c r="G14" s="108">
        <v>20</v>
      </c>
      <c r="H14" s="108">
        <v>25</v>
      </c>
      <c r="I14" s="108">
        <v>30</v>
      </c>
      <c r="J14" s="3"/>
      <c r="K14" s="106"/>
      <c r="L14" s="3" t="s">
        <v>20</v>
      </c>
    </row>
    <row r="15" spans="1:12" ht="16.5" customHeight="1" x14ac:dyDescent="0.25">
      <c r="A15" s="1"/>
      <c r="B15" s="6" t="s">
        <v>34</v>
      </c>
      <c r="C15" s="6" t="s">
        <v>35</v>
      </c>
      <c r="D15" s="6" t="s">
        <v>18</v>
      </c>
      <c r="E15" s="7">
        <v>46310</v>
      </c>
      <c r="F15" s="6">
        <v>23</v>
      </c>
      <c r="G15" s="109">
        <v>20</v>
      </c>
      <c r="H15" s="109">
        <v>50</v>
      </c>
      <c r="I15" s="8"/>
      <c r="J15" s="6" t="s">
        <v>19</v>
      </c>
      <c r="K15" s="107"/>
      <c r="L15" s="6" t="s">
        <v>20</v>
      </c>
    </row>
    <row r="16" spans="1:12" ht="16.5" customHeight="1" x14ac:dyDescent="0.25">
      <c r="A16" s="1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ht="16.5" customHeight="1" x14ac:dyDescent="0.25">
      <c r="A17" s="1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ht="16.5" customHeight="1" x14ac:dyDescent="0.25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ht="16.5" customHeight="1" x14ac:dyDescent="0.25">
      <c r="A19" s="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ht="7.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2" ht="24" customHeight="1" x14ac:dyDescent="0.25">
      <c r="A21" s="1"/>
      <c r="B21" s="79" t="s">
        <v>36</v>
      </c>
      <c r="C21" s="79"/>
      <c r="D21" s="79"/>
      <c r="E21" s="79"/>
      <c r="F21" s="79"/>
      <c r="G21" s="79"/>
      <c r="H21" s="79"/>
      <c r="I21" s="79"/>
      <c r="J21" s="79"/>
      <c r="K21" s="79"/>
    </row>
    <row r="22" spans="1:12" ht="21.75" customHeight="1" x14ac:dyDescent="0.25">
      <c r="A22" s="1"/>
      <c r="B22" s="9" t="inlineStr">
        <is>
          <t>ID</t>
        </is>
      </c>
      <c r="C22" s="9" t="inlineStr">
        <is>
          <t>Nome da Campanha</t>
        </is>
      </c>
      <c r="D22" s="9" t="inlineStr">
        <is>
          <t>Marca</t>
        </is>
      </c>
      <c r="E22" s="9" t="inlineStr">
        <is>
          <t>Data Fim</t>
        </is>
      </c>
      <c r="F22" s="9" t="inlineStr">
        <is>
          <t>Dias Rest.</t>
        </is>
      </c>
      <c r="G22" s="9" t="inlineStr">
        <is>
          <t>Estado</t>
        </is>
      </c>
      <c r="H22" s="9" t="inlineStr">
        <is>
          <t>Estado Comp.</t>
        </is>
      </c>
      <c r="I22" s="9" t="inlineStr">
        <is>
          <t>Delegado</t>
        </is>
      </c>
      <c r="J22" s="9" t="inlineStr">
        <is>
          <t>Val. a Receber</t>
        </is>
      </c>
      <c r="K22" s="9" t="inlineStr">
        <is>
          <t>Saldo Pendente €</t>
        </is>
      </c>
    </row>
    <row r="23" spans="1:12" ht="16.5" customHeight="1" x14ac:dyDescent="0.25">
      <c r="A23" s="1"/>
      <c r="B23" s="100" t="s">
        <v>37</v>
      </c>
      <c r="C23" s="100" t="s">
        <v>38</v>
      </c>
      <c r="D23" s="100" t="s">
        <v>18</v>
      </c>
      <c r="E23" s="101">
        <v>46234</v>
      </c>
      <c r="F23" s="100">
        <v>0</v>
      </c>
      <c r="G23" s="100" t="s">
        <v>39</v>
      </c>
      <c r="H23" s="100" t="s">
        <v>20</v>
      </c>
      <c r="I23" s="100" t="s">
        <v>19</v>
      </c>
      <c r="J23" s="104">
        <v>36.31</v>
      </c>
      <c r="K23" s="105">
        <v>36.31</v>
      </c>
    </row>
    <row r="24" spans="1:12" ht="16.5" customHeight="1" x14ac:dyDescent="0.25">
      <c r="A24" s="1"/>
      <c r="B24" s="100" t="s">
        <v>40</v>
      </c>
      <c r="C24" s="100" t="s">
        <v>41</v>
      </c>
      <c r="D24" s="100" t="s">
        <v>29</v>
      </c>
      <c r="E24" s="101">
        <v>46265</v>
      </c>
      <c r="F24" s="100">
        <v>0</v>
      </c>
      <c r="G24" s="100" t="s">
        <v>39</v>
      </c>
      <c r="H24" s="100" t="s">
        <v>20</v>
      </c>
      <c r="I24" s="100" t="s">
        <v>30</v>
      </c>
      <c r="J24" s="104">
        <v>21</v>
      </c>
      <c r="K24" s="104">
        <v>0</v>
      </c>
    </row>
    <row r="25" spans="1:12" ht="16.5" customHeight="1" x14ac:dyDescent="0.25">
      <c r="A25" s="1"/>
      <c r="B25" s="100" t="s">
        <v>50</v>
      </c>
      <c r="C25" s="100" t="s">
        <v>24</v>
      </c>
      <c r="D25" s="100" t="s">
        <v>25</v>
      </c>
      <c r="E25" s="101">
        <v>46234</v>
      </c>
      <c r="F25" s="100">
        <v>0</v>
      </c>
      <c r="G25" s="100" t="s">
        <v>39</v>
      </c>
      <c r="H25" s="100" t="s">
        <v>20</v>
      </c>
      <c r="I25" s="100" t="s">
        <v>26</v>
      </c>
      <c r="J25" s="104">
        <v>82.21</v>
      </c>
      <c r="K25" s="105">
        <v>82.21</v>
      </c>
    </row>
    <row r="26" spans="1:12" ht="16.5" customHeight="1" x14ac:dyDescent="0.25">
      <c r="A26" s="1"/>
      <c r="B26" s="100" t="s">
        <v>51</v>
      </c>
      <c r="C26" s="100" t="s">
        <v>52</v>
      </c>
      <c r="D26" s="100" t="s">
        <v>53</v>
      </c>
      <c r="E26" s="101">
        <v>46234</v>
      </c>
      <c r="F26" s="100">
        <v>0</v>
      </c>
      <c r="G26" s="100" t="s">
        <v>39</v>
      </c>
      <c r="H26" s="100" t="s">
        <v>20</v>
      </c>
      <c r="I26" s="100"/>
      <c r="J26" s="104">
        <v>6.27</v>
      </c>
      <c r="K26" s="105">
        <v>6.27</v>
      </c>
    </row>
    <row r="27" spans="1:12" ht="16.5" customHeight="1" x14ac:dyDescent="0.25">
      <c r="A27" s="1"/>
      <c r="B27" s="100"/>
      <c r="C27" s="100"/>
      <c r="D27" s="100"/>
      <c r="E27" s="101"/>
      <c r="F27" s="100"/>
      <c r="G27" s="100"/>
      <c r="H27" s="100"/>
      <c r="I27" s="100"/>
      <c r="J27" s="102"/>
      <c r="K27" s="103"/>
    </row>
    <row r="28" spans="1:12" ht="16.5" customHeight="1" x14ac:dyDescent="0.25">
      <c r="A28" s="1"/>
      <c r="B28" s="100"/>
      <c r="C28" s="100"/>
      <c r="D28" s="100"/>
      <c r="E28" s="101"/>
      <c r="F28" s="100"/>
      <c r="G28" s="100"/>
      <c r="H28" s="100"/>
      <c r="I28" s="100"/>
      <c r="J28" s="102"/>
      <c r="K28" s="103"/>
    </row>
    <row r="29" spans="1:12" ht="7.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2" ht="24" customHeight="1" x14ac:dyDescent="0.25">
      <c r="A30" s="1"/>
      <c r="B30" s="73" t="s">
        <v>54</v>
      </c>
      <c r="C30" s="73"/>
      <c r="D30" s="73"/>
      <c r="E30" s="73"/>
      <c r="F30" s="73"/>
      <c r="G30" s="73"/>
      <c r="H30" s="73"/>
      <c r="I30" s="73"/>
      <c r="J30" s="73"/>
      <c r="K30" s="73"/>
    </row>
    <row r="31" spans="1:12" ht="21.75" customHeight="1" x14ac:dyDescent="0.25">
      <c r="A31" s="1"/>
      <c r="B31" s="9" t="s">
        <v>5</v>
      </c>
      <c r="C31" s="9" t="s">
        <v>6</v>
      </c>
      <c r="D31" s="9" t="s">
        <v>7</v>
      </c>
      <c r="E31" s="9" t="s">
        <v>8</v>
      </c>
      <c r="F31" s="9" t="s">
        <v>9</v>
      </c>
      <c r="G31" s="9" t="s">
        <v>55</v>
      </c>
      <c r="H31" s="9" t="s">
        <v>56</v>
      </c>
      <c r="I31" s="9" t="s">
        <v>13</v>
      </c>
      <c r="J31" s="9" t="s">
        <v>57</v>
      </c>
      <c r="K31" s="9" t="s">
        <v>58</v>
      </c>
    </row>
    <row r="32" spans="1:12" ht="16.5" customHeight="1" x14ac:dyDescent="0.25">
      <c r="A32" s="1"/>
      <c r="B32" s="3" t="s">
        <v>16</v>
      </c>
      <c r="C32" s="3" t="s">
        <v>17</v>
      </c>
      <c r="D32" s="3" t="s">
        <v>18</v>
      </c>
      <c r="E32" s="4">
        <v>46295</v>
      </c>
      <c r="F32" s="3">
        <v>8</v>
      </c>
      <c r="G32" s="3" t="s">
        <v>79</v>
      </c>
      <c r="H32" s="3" t="s">
        <v>80</v>
      </c>
      <c r="I32" s="3" t="s">
        <v>19</v>
      </c>
      <c r="J32" s="3"/>
      <c r="K32" s="3" t="s">
        <v>81</v>
      </c>
    </row>
    <row r="33" spans="1:11" ht="16.5" customHeight="1" x14ac:dyDescent="0.25">
      <c r="A33" s="1"/>
      <c r="B33" s="6" t="s">
        <v>21</v>
      </c>
      <c r="C33" s="6" t="s">
        <v>22</v>
      </c>
      <c r="D33" s="6" t="s">
        <v>18</v>
      </c>
      <c r="E33" s="7">
        <v>46295</v>
      </c>
      <c r="F33" s="6">
        <v>8</v>
      </c>
      <c r="G33" s="6" t="s">
        <v>79</v>
      </c>
      <c r="H33" s="6" t="s">
        <v>80</v>
      </c>
      <c r="I33" s="6" t="s">
        <v>19</v>
      </c>
      <c r="J33" s="6"/>
      <c r="K33" s="6" t="s">
        <v>83</v>
      </c>
    </row>
    <row r="34" spans="1:11" ht="16.5" customHeight="1" x14ac:dyDescent="0.25">
      <c r="A34" s="1"/>
      <c r="B34" s="3" t="s">
        <v>23</v>
      </c>
      <c r="C34" s="3" t="s">
        <v>24</v>
      </c>
      <c r="D34" s="3" t="s">
        <v>25</v>
      </c>
      <c r="E34" s="4">
        <v>46295</v>
      </c>
      <c r="F34" s="3">
        <v>8</v>
      </c>
      <c r="G34" s="3" t="s">
        <v>79</v>
      </c>
      <c r="H34" s="3" t="s">
        <v>87</v>
      </c>
      <c r="I34" s="3" t="s">
        <v>26</v>
      </c>
      <c r="J34" s="3" t="s">
        <v>89</v>
      </c>
      <c r="K34" s="3" t="s">
        <v>86</v>
      </c>
    </row>
    <row r="35" spans="1:11" ht="16.5" customHeight="1" x14ac:dyDescent="0.25">
      <c r="A35" s="1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6.5" customHeight="1" x14ac:dyDescent="0.25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</row>
    <row r="37" spans="1:11" ht="16.5" customHeight="1" x14ac:dyDescent="0.25">
      <c r="A37" s="1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7.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ht="18" customHeight="1" x14ac:dyDescent="0.25">
      <c r="A39" s="1"/>
      <c r="B39" s="74" t="s">
        <v>59</v>
      </c>
      <c r="C39" s="74"/>
      <c r="D39" s="74"/>
      <c r="E39" s="74"/>
      <c r="F39" s="74"/>
      <c r="G39" s="74"/>
      <c r="H39" s="74"/>
      <c r="I39" s="74"/>
      <c r="J39" s="74"/>
      <c r="K39" s="74"/>
    </row>
    <row r="40" spans="1:11" ht="16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ht="16.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ht="16.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ht="7.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ht="18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ht="1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ht="1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</sheetData>
  <mergeCells count="13">
    <mergeCell ref="B30:K30"/>
    <mergeCell ref="B39:K39"/>
    <mergeCell ref="B5:D5"/>
    <mergeCell ref="E5:G5"/>
    <mergeCell ref="H5:K5"/>
    <mergeCell ref="B8:L8"/>
    <mergeCell ref="B21:K21"/>
    <mergeCell ref="A1:K1"/>
    <mergeCell ref="A2:K2"/>
    <mergeCell ref="B3:K3"/>
    <mergeCell ref="B4:D4"/>
    <mergeCell ref="E4:G4"/>
    <mergeCell ref="H4:K4"/>
  </mergeCells>
  <printOptions horizontalCentered="1"/>
  <pageMargins left="0.3" right="0.3" top="0.3" bottom="0.3" header="0.511811023622047" footer="0.511811023622047"/>
  <pageSetup paperSize="8" fitToHeight="0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" name="Button 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5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6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7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8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9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2" name="Button 10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3" name="Button 1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4" name="Button 1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5" name="Button 1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6" name="Button 1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7" name="Button 15">
              <controlPr defaultSize="0" autoPict="0" macro="Module1.AtualizarDashboardDados">
                <anchor moveWithCells="1" sizeWithCells="1">
                  <from>
                    <xdr:col>11</xdr:col>
                    <xdr:colOff>704850</xdr:colOff>
                    <xdr:row>21</xdr:row>
                    <xdr:rowOff>247650</xdr:rowOff>
                  </from>
                  <to>
                    <xdr:col>13</xdr:col>
                    <xdr:colOff>561975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Button 1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Button 1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Button 2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2" name="Button 2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3" name="Button 22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4" name="Button 23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5" name="Button 24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6" name="Button 25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7" name="Button 2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8" name="Button 2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9" name="Button 2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0" name="Button 2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1" name="Button 3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2" name="Button 3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3" name="Button 1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0"/>
  <dimension ref="A1:X21"/>
  <sheetViews>
    <sheetView showGridLines="0" zoomScale="90" zoomScaleNormal="90" workbookViewId="0">
      <pane ySplit="3" topLeftCell="A4" activePane="bottomLeft" state="frozen"/>
      <selection activeCell="G1" sqref="G1"/>
      <selection pane="bottomLeft" activeCell="G11" sqref="G11"/>
    </sheetView>
  </sheetViews>
  <sheetFormatPr defaultColWidth="8.7109375" defaultRowHeight="15" x14ac:dyDescent="0.25"/>
  <cols>
    <col min="1" max="1" width="8" customWidth="1"/>
    <col min="2" max="2" width="28" customWidth="1"/>
    <col min="3" max="3" width="16" customWidth="1"/>
    <col min="4" max="5" width="13" customWidth="1"/>
    <col min="6" max="7" width="14" customWidth="1"/>
    <col min="8" max="10" width="18" customWidth="1"/>
    <col min="11" max="11" width="22" customWidth="1"/>
    <col min="12" max="13" width="24" customWidth="1"/>
    <col min="14" max="16" width="15" customWidth="1"/>
    <col min="17" max="17" width="17" customWidth="1"/>
    <col min="18" max="18" width="14" customWidth="1"/>
    <col min="19" max="19" width="15" customWidth="1"/>
    <col min="20" max="20" width="14" customWidth="1"/>
    <col min="21" max="21" width="13" hidden="1" customWidth="1"/>
    <col min="22" max="22" width="24" customWidth="1"/>
    <col min="23" max="23" width="16" customWidth="1"/>
    <col min="24" max="24" width="26" customWidth="1"/>
  </cols>
  <sheetData>
    <row r="1" spans="1:24" ht="31.5" customHeight="1" x14ac:dyDescent="0.25">
      <c r="A1" s="80" t="s">
        <v>60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</row>
    <row r="2" spans="1:24" ht="21.75" customHeight="1" x14ac:dyDescent="0.25">
      <c r="A2" s="81" t="s">
        <v>61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2" t="s">
        <v>62</v>
      </c>
      <c r="R2" s="82"/>
      <c r="S2" s="82"/>
      <c r="T2" s="82"/>
      <c r="U2" s="82"/>
      <c r="V2" s="82"/>
      <c r="W2" s="82"/>
      <c r="X2" s="82"/>
    </row>
    <row r="3" spans="1:24" ht="27.75" customHeight="1" x14ac:dyDescent="0.25">
      <c r="A3" s="10" t="s">
        <v>5</v>
      </c>
      <c r="B3" s="10" t="s">
        <v>6</v>
      </c>
      <c r="C3" s="10" t="s">
        <v>7</v>
      </c>
      <c r="D3" s="10" t="s">
        <v>63</v>
      </c>
      <c r="E3" s="10" t="s">
        <v>8</v>
      </c>
      <c r="F3" s="10" t="s">
        <v>64</v>
      </c>
      <c r="G3" s="10" t="s">
        <v>55</v>
      </c>
      <c r="H3" s="11" t="s">
        <v>65</v>
      </c>
      <c r="I3" s="10" t="s">
        <v>56</v>
      </c>
      <c r="J3" s="11" t="s">
        <v>66</v>
      </c>
      <c r="K3" s="10" t="s">
        <v>67</v>
      </c>
      <c r="L3" s="10" t="s">
        <v>68</v>
      </c>
      <c r="M3" s="10" t="s">
        <v>58</v>
      </c>
      <c r="N3" s="10" t="s">
        <v>69</v>
      </c>
      <c r="O3" s="10" t="s">
        <v>70</v>
      </c>
      <c r="P3" s="10" t="s">
        <v>71</v>
      </c>
      <c r="Q3" s="12" t="s">
        <v>72</v>
      </c>
      <c r="R3" s="13" t="s">
        <v>73</v>
      </c>
      <c r="S3" s="13" t="s">
        <v>74</v>
      </c>
      <c r="T3" s="13" t="s">
        <v>75</v>
      </c>
      <c r="U3" s="13" t="s">
        <v>76</v>
      </c>
      <c r="V3" s="13" t="s">
        <v>15</v>
      </c>
      <c r="W3" s="13" t="s">
        <v>77</v>
      </c>
      <c r="X3" s="13" t="s">
        <v>78</v>
      </c>
    </row>
    <row r="4" spans="1:24" ht="15" customHeight="1" x14ac:dyDescent="0.25">
      <c r="A4" s="14" t="s">
        <v>16</v>
      </c>
      <c r="B4" s="14" t="s">
        <v>17</v>
      </c>
      <c r="C4" s="14" t="s">
        <v>18</v>
      </c>
      <c r="D4" s="15">
        <v>46189</v>
      </c>
      <c r="E4" s="15">
        <v>46295</v>
      </c>
      <c r="F4" s="16">
        <f t="shared" ref="F4:F21" ca="1" si="0">IFERROR(MAX(0,E4-TODAY()),0)</f>
        <v>8</v>
      </c>
      <c r="G4" s="17" t="s">
        <v>79</v>
      </c>
      <c r="H4" s="17"/>
      <c r="I4" s="17" t="s">
        <v>80</v>
      </c>
      <c r="J4" s="17"/>
      <c r="K4" s="14" t="s">
        <v>19</v>
      </c>
      <c r="L4" s="14"/>
      <c r="M4" s="14" t="s">
        <v>81</v>
      </c>
      <c r="N4" s="18">
        <v>35</v>
      </c>
      <c r="O4" s="18">
        <v>40</v>
      </c>
      <c r="P4" s="18"/>
      <c r="Q4" s="19"/>
      <c r="R4" s="20"/>
      <c r="S4" s="17"/>
      <c r="T4" s="20"/>
      <c r="U4" s="20">
        <f t="shared" ref="U4:U21" si="1">IFERROR(Q4-R4-T4,0)</f>
        <v>0</v>
      </c>
      <c r="V4" s="17" t="s">
        <v>20</v>
      </c>
      <c r="W4" s="21"/>
      <c r="X4" s="14"/>
    </row>
    <row r="5" spans="1:24" ht="15" customHeight="1" x14ac:dyDescent="0.25">
      <c r="A5" s="14" t="s">
        <v>37</v>
      </c>
      <c r="B5" s="14" t="s">
        <v>38</v>
      </c>
      <c r="C5" s="14" t="s">
        <v>18</v>
      </c>
      <c r="D5" s="15">
        <v>46188</v>
      </c>
      <c r="E5" s="15">
        <v>46234</v>
      </c>
      <c r="F5" s="16">
        <f t="shared" ca="1" si="0"/>
        <v>0</v>
      </c>
      <c r="G5" s="17" t="s">
        <v>39</v>
      </c>
      <c r="H5" s="22" t="s">
        <v>82</v>
      </c>
      <c r="I5" s="17" t="s">
        <v>80</v>
      </c>
      <c r="J5" s="22" t="s">
        <v>67</v>
      </c>
      <c r="K5" s="14" t="s">
        <v>19</v>
      </c>
      <c r="L5" s="14"/>
      <c r="M5" s="14" t="s">
        <v>83</v>
      </c>
      <c r="N5" s="18">
        <v>20</v>
      </c>
      <c r="O5" s="18">
        <v>50</v>
      </c>
      <c r="P5" s="18"/>
      <c r="Q5" s="19">
        <v>36.31</v>
      </c>
      <c r="R5" s="20">
        <v>0</v>
      </c>
      <c r="S5" s="17"/>
      <c r="T5" s="20"/>
      <c r="U5" s="20">
        <f t="shared" si="1"/>
        <v>36.31</v>
      </c>
      <c r="V5" s="17" t="s">
        <v>20</v>
      </c>
      <c r="W5" s="21"/>
      <c r="X5" s="14"/>
    </row>
    <row r="6" spans="1:24" ht="15" customHeight="1" x14ac:dyDescent="0.25">
      <c r="A6" s="14" t="s">
        <v>21</v>
      </c>
      <c r="B6" s="14" t="s">
        <v>22</v>
      </c>
      <c r="C6" s="14" t="s">
        <v>18</v>
      </c>
      <c r="D6" s="15">
        <v>46174</v>
      </c>
      <c r="E6" s="15">
        <v>46295</v>
      </c>
      <c r="F6" s="16">
        <f t="shared" ca="1" si="0"/>
        <v>8</v>
      </c>
      <c r="G6" s="17" t="s">
        <v>79</v>
      </c>
      <c r="H6" s="17"/>
      <c r="I6" s="17" t="s">
        <v>80</v>
      </c>
      <c r="J6" s="17"/>
      <c r="K6" s="14" t="s">
        <v>19</v>
      </c>
      <c r="L6" s="14"/>
      <c r="M6" s="14" t="s">
        <v>83</v>
      </c>
      <c r="N6" s="18">
        <v>30</v>
      </c>
      <c r="O6" s="18"/>
      <c r="P6" s="18"/>
      <c r="Q6" s="19"/>
      <c r="R6" s="20"/>
      <c r="S6" s="17"/>
      <c r="T6" s="20"/>
      <c r="U6" s="20">
        <f t="shared" si="1"/>
        <v>0</v>
      </c>
      <c r="V6" s="17" t="s">
        <v>20</v>
      </c>
      <c r="W6" s="21"/>
      <c r="X6" s="14"/>
    </row>
    <row r="7" spans="1:24" ht="15" customHeight="1" x14ac:dyDescent="0.25">
      <c r="A7" s="14" t="s">
        <v>40</v>
      </c>
      <c r="B7" s="14" t="s">
        <v>41</v>
      </c>
      <c r="C7" s="14" t="s">
        <v>29</v>
      </c>
      <c r="D7" s="15">
        <v>46204</v>
      </c>
      <c r="E7" s="15">
        <v>46265</v>
      </c>
      <c r="F7" s="16">
        <f t="shared" ca="1" si="0"/>
        <v>0</v>
      </c>
      <c r="G7" s="17" t="s">
        <v>39</v>
      </c>
      <c r="H7" s="22"/>
      <c r="I7" s="17" t="s">
        <v>80</v>
      </c>
      <c r="J7" s="22" t="s">
        <v>67</v>
      </c>
      <c r="K7" s="14" t="s">
        <v>30</v>
      </c>
      <c r="L7" s="14"/>
      <c r="M7" s="14" t="s">
        <v>84</v>
      </c>
      <c r="N7" s="18">
        <v>20</v>
      </c>
      <c r="O7" s="18"/>
      <c r="P7" s="18"/>
      <c r="Q7" s="19">
        <v>21</v>
      </c>
      <c r="R7" s="20">
        <v>21</v>
      </c>
      <c r="S7" s="17"/>
      <c r="T7" s="20"/>
      <c r="U7" s="20">
        <f t="shared" si="1"/>
        <v>0</v>
      </c>
      <c r="V7" s="17" t="s">
        <v>20</v>
      </c>
      <c r="W7" s="21"/>
      <c r="X7" s="14"/>
    </row>
    <row r="8" spans="1:24" ht="15" customHeight="1" x14ac:dyDescent="0.25">
      <c r="A8" s="14" t="s">
        <v>42</v>
      </c>
      <c r="B8" s="14" t="s">
        <v>43</v>
      </c>
      <c r="C8" s="14" t="s">
        <v>44</v>
      </c>
      <c r="D8" s="15">
        <v>46143</v>
      </c>
      <c r="E8" s="15">
        <v>46234</v>
      </c>
      <c r="F8" s="16">
        <f t="shared" ca="1" si="0"/>
        <v>0</v>
      </c>
      <c r="G8" s="17" t="s">
        <v>39</v>
      </c>
      <c r="H8" s="17" t="s">
        <v>85</v>
      </c>
      <c r="I8" s="17" t="s">
        <v>80</v>
      </c>
      <c r="J8" s="17"/>
      <c r="K8" s="14" t="s">
        <v>45</v>
      </c>
      <c r="L8" s="23"/>
      <c r="M8" s="14" t="s">
        <v>86</v>
      </c>
      <c r="N8" s="18">
        <v>50</v>
      </c>
      <c r="O8" s="18"/>
      <c r="P8" s="18"/>
      <c r="Q8" s="19">
        <v>22.64</v>
      </c>
      <c r="R8" s="20">
        <v>0</v>
      </c>
      <c r="S8" s="17"/>
      <c r="T8" s="20"/>
      <c r="U8" s="20">
        <f t="shared" si="1"/>
        <v>22.64</v>
      </c>
      <c r="V8" s="17" t="s">
        <v>92</v>
      </c>
      <c r="W8" s="21">
        <v>46287</v>
      </c>
      <c r="X8" s="14"/>
    </row>
    <row r="9" spans="1:24" ht="15" customHeight="1" x14ac:dyDescent="0.25">
      <c r="A9" s="14" t="s">
        <v>46</v>
      </c>
      <c r="B9" s="14" t="s">
        <v>47</v>
      </c>
      <c r="C9" s="14" t="s">
        <v>48</v>
      </c>
      <c r="D9" s="15">
        <v>46143</v>
      </c>
      <c r="E9" s="15">
        <v>46265</v>
      </c>
      <c r="F9" s="16">
        <f t="shared" ca="1" si="0"/>
        <v>0</v>
      </c>
      <c r="G9" s="17" t="s">
        <v>39</v>
      </c>
      <c r="H9" s="22"/>
      <c r="I9" s="17" t="s">
        <v>80</v>
      </c>
      <c r="J9" s="22"/>
      <c r="K9" s="14" t="s">
        <v>49</v>
      </c>
      <c r="L9" s="14"/>
      <c r="M9" s="14" t="s">
        <v>86</v>
      </c>
      <c r="N9" s="18">
        <v>20</v>
      </c>
      <c r="O9" s="18"/>
      <c r="P9" s="18"/>
      <c r="Q9" s="19">
        <v>20.62</v>
      </c>
      <c r="R9" s="20">
        <v>20.62</v>
      </c>
      <c r="S9" s="17"/>
      <c r="T9" s="20"/>
      <c r="U9" s="20">
        <f t="shared" si="1"/>
        <v>0</v>
      </c>
      <c r="V9" s="17" t="s">
        <v>92</v>
      </c>
      <c r="W9" s="21"/>
      <c r="X9" s="14"/>
    </row>
    <row r="10" spans="1:24" ht="15" customHeight="1" x14ac:dyDescent="0.25">
      <c r="A10" s="14" t="s">
        <v>50</v>
      </c>
      <c r="B10" s="14" t="s">
        <v>24</v>
      </c>
      <c r="C10" s="14" t="s">
        <v>25</v>
      </c>
      <c r="D10" s="15">
        <v>46204</v>
      </c>
      <c r="E10" s="15">
        <v>46234</v>
      </c>
      <c r="F10" s="16">
        <f t="shared" ca="1" si="0"/>
        <v>0</v>
      </c>
      <c r="G10" s="17" t="s">
        <v>39</v>
      </c>
      <c r="H10" s="22" t="s">
        <v>85</v>
      </c>
      <c r="I10" s="17" t="s">
        <v>87</v>
      </c>
      <c r="J10" s="17" t="s">
        <v>88</v>
      </c>
      <c r="K10" s="14" t="s">
        <v>26</v>
      </c>
      <c r="L10" s="24" t="s">
        <v>89</v>
      </c>
      <c r="M10" s="14" t="s">
        <v>86</v>
      </c>
      <c r="N10" s="18">
        <v>30</v>
      </c>
      <c r="O10" s="18"/>
      <c r="P10" s="18"/>
      <c r="Q10" s="19">
        <v>82.21</v>
      </c>
      <c r="R10" s="20">
        <v>0</v>
      </c>
      <c r="S10" s="17"/>
      <c r="T10" s="20"/>
      <c r="U10" s="20">
        <f t="shared" si="1"/>
        <v>82.21</v>
      </c>
      <c r="V10" s="17" t="s">
        <v>20</v>
      </c>
      <c r="W10" s="21"/>
      <c r="X10" s="14"/>
    </row>
    <row r="11" spans="1:24" ht="15" customHeight="1" x14ac:dyDescent="0.25">
      <c r="A11" s="14" t="s">
        <v>90</v>
      </c>
      <c r="B11" s="14" t="s">
        <v>91</v>
      </c>
      <c r="C11" s="14" t="s">
        <v>25</v>
      </c>
      <c r="D11" s="15">
        <v>46204</v>
      </c>
      <c r="E11" s="15">
        <v>46234</v>
      </c>
      <c r="F11" s="16">
        <f t="shared" ca="1" si="0"/>
        <v>0</v>
      </c>
      <c r="G11" s="17" t="s">
        <v>39</v>
      </c>
      <c r="H11" s="22" t="s">
        <v>85</v>
      </c>
      <c r="I11" s="17" t="s">
        <v>87</v>
      </c>
      <c r="J11" s="22" t="s">
        <v>88</v>
      </c>
      <c r="K11" s="14" t="s">
        <v>26</v>
      </c>
      <c r="L11" s="24" t="s">
        <v>89</v>
      </c>
      <c r="M11" s="14" t="s">
        <v>86</v>
      </c>
      <c r="N11" s="18">
        <v>50</v>
      </c>
      <c r="O11" s="18"/>
      <c r="P11" s="18"/>
      <c r="Q11" s="19">
        <v>0</v>
      </c>
      <c r="R11" s="20"/>
      <c r="S11" s="17"/>
      <c r="T11" s="20"/>
      <c r="U11" s="20">
        <f t="shared" si="1"/>
        <v>0</v>
      </c>
      <c r="V11" s="17" t="s">
        <v>92</v>
      </c>
      <c r="W11" s="21"/>
      <c r="X11" s="14"/>
    </row>
    <row r="12" spans="1:24" ht="15" customHeight="1" x14ac:dyDescent="0.25">
      <c r="A12" s="14" t="s">
        <v>51</v>
      </c>
      <c r="B12" s="14" t="s">
        <v>52</v>
      </c>
      <c r="C12" s="14" t="s">
        <v>53</v>
      </c>
      <c r="D12" s="15">
        <v>46174</v>
      </c>
      <c r="E12" s="15">
        <v>46234</v>
      </c>
      <c r="F12" s="16">
        <f t="shared" ca="1" si="0"/>
        <v>0</v>
      </c>
      <c r="G12" s="17" t="s">
        <v>39</v>
      </c>
      <c r="H12" s="17" t="s">
        <v>85</v>
      </c>
      <c r="I12" s="17" t="s">
        <v>80</v>
      </c>
      <c r="J12" s="17"/>
      <c r="K12" s="14"/>
      <c r="L12" s="14"/>
      <c r="M12" s="14" t="s">
        <v>86</v>
      </c>
      <c r="N12" s="18">
        <v>25</v>
      </c>
      <c r="O12" s="18">
        <v>33</v>
      </c>
      <c r="P12" s="18"/>
      <c r="Q12" s="19">
        <v>6.27</v>
      </c>
      <c r="R12" s="20">
        <v>0</v>
      </c>
      <c r="S12" s="17"/>
      <c r="T12" s="20"/>
      <c r="U12" s="20">
        <f t="shared" si="1"/>
        <v>6.27</v>
      </c>
      <c r="V12" s="17" t="s">
        <v>20</v>
      </c>
      <c r="W12" s="21"/>
      <c r="X12" s="14"/>
    </row>
    <row r="13" spans="1:24" ht="15" customHeight="1" x14ac:dyDescent="0.25">
      <c r="A13" s="14" t="s">
        <v>23</v>
      </c>
      <c r="B13" s="14" t="s">
        <v>24</v>
      </c>
      <c r="C13" s="14" t="s">
        <v>25</v>
      </c>
      <c r="D13" s="15">
        <v>46266</v>
      </c>
      <c r="E13" s="15">
        <v>46295</v>
      </c>
      <c r="F13" s="16">
        <f t="shared" ca="1" si="0"/>
        <v>8</v>
      </c>
      <c r="G13" s="17" t="s">
        <v>79</v>
      </c>
      <c r="H13" s="17" t="s">
        <v>85</v>
      </c>
      <c r="I13" s="17" t="s">
        <v>87</v>
      </c>
      <c r="J13" s="17" t="s">
        <v>88</v>
      </c>
      <c r="K13" s="14" t="s">
        <v>26</v>
      </c>
      <c r="L13" s="24" t="s">
        <v>89</v>
      </c>
      <c r="M13" s="14" t="s">
        <v>86</v>
      </c>
      <c r="N13" s="18">
        <v>30</v>
      </c>
      <c r="O13" s="18"/>
      <c r="P13" s="18"/>
      <c r="Q13" s="19"/>
      <c r="R13" s="20"/>
      <c r="S13" s="17"/>
      <c r="T13" s="20"/>
      <c r="U13" s="20">
        <f t="shared" si="1"/>
        <v>0</v>
      </c>
      <c r="V13" s="17" t="s">
        <v>20</v>
      </c>
      <c r="W13" s="21"/>
      <c r="X13" s="14"/>
    </row>
    <row r="14" spans="1:24" ht="15" customHeight="1" x14ac:dyDescent="0.25">
      <c r="A14" s="14" t="s">
        <v>27</v>
      </c>
      <c r="B14" s="14" t="s">
        <v>28</v>
      </c>
      <c r="C14" s="14" t="s">
        <v>29</v>
      </c>
      <c r="D14" s="15">
        <v>46266</v>
      </c>
      <c r="E14" s="15">
        <v>46326</v>
      </c>
      <c r="F14" s="16">
        <f t="shared" ca="1" si="0"/>
        <v>39</v>
      </c>
      <c r="G14" s="17" t="s">
        <v>79</v>
      </c>
      <c r="H14" s="17" t="s">
        <v>85</v>
      </c>
      <c r="I14" s="17" t="s">
        <v>80</v>
      </c>
      <c r="J14" s="17" t="s">
        <v>88</v>
      </c>
      <c r="K14" s="14" t="s">
        <v>30</v>
      </c>
      <c r="L14" s="14"/>
      <c r="M14" s="14" t="s">
        <v>86</v>
      </c>
      <c r="N14" s="18">
        <v>30</v>
      </c>
      <c r="O14" s="18"/>
      <c r="P14" s="18"/>
      <c r="Q14" s="19"/>
      <c r="R14" s="20"/>
      <c r="S14" s="17"/>
      <c r="T14" s="20"/>
      <c r="U14" s="20">
        <f t="shared" si="1"/>
        <v>0</v>
      </c>
      <c r="V14" s="17" t="s">
        <v>20</v>
      </c>
      <c r="W14" s="21"/>
      <c r="X14" s="14"/>
    </row>
    <row r="15" spans="1:24" ht="15" customHeight="1" x14ac:dyDescent="0.25">
      <c r="A15" s="14" t="s">
        <v>31</v>
      </c>
      <c r="B15" s="14" t="s">
        <v>32</v>
      </c>
      <c r="C15" s="14" t="s">
        <v>33</v>
      </c>
      <c r="D15" s="15">
        <v>46266</v>
      </c>
      <c r="E15" s="15">
        <v>46356</v>
      </c>
      <c r="F15" s="16">
        <f t="shared" ca="1" si="0"/>
        <v>69</v>
      </c>
      <c r="G15" s="17" t="s">
        <v>79</v>
      </c>
      <c r="H15" s="17" t="s">
        <v>85</v>
      </c>
      <c r="I15" s="17" t="s">
        <v>87</v>
      </c>
      <c r="J15" s="17" t="s">
        <v>93</v>
      </c>
      <c r="K15" s="14"/>
      <c r="L15" s="14" t="s">
        <v>94</v>
      </c>
      <c r="M15" s="14"/>
      <c r="N15" s="18">
        <v>20</v>
      </c>
      <c r="O15" s="18">
        <v>25</v>
      </c>
      <c r="P15" s="18">
        <v>30</v>
      </c>
      <c r="Q15" s="19"/>
      <c r="R15" s="20"/>
      <c r="S15" s="17"/>
      <c r="T15" s="20"/>
      <c r="U15" s="20">
        <f t="shared" si="1"/>
        <v>0</v>
      </c>
      <c r="V15" s="17" t="s">
        <v>20</v>
      </c>
      <c r="W15" s="21"/>
      <c r="X15" s="14"/>
    </row>
    <row r="16" spans="1:24" ht="15" customHeight="1" x14ac:dyDescent="0.25">
      <c r="A16" s="14" t="s">
        <v>95</v>
      </c>
      <c r="B16" s="14" t="s">
        <v>91</v>
      </c>
      <c r="C16" s="14" t="s">
        <v>25</v>
      </c>
      <c r="D16" s="15">
        <v>46296</v>
      </c>
      <c r="E16" s="15">
        <v>46326</v>
      </c>
      <c r="F16" s="16">
        <f t="shared" ca="1" si="0"/>
        <v>39</v>
      </c>
      <c r="G16" s="17" t="s">
        <v>96</v>
      </c>
      <c r="H16" s="17" t="s">
        <v>85</v>
      </c>
      <c r="I16" s="17" t="s">
        <v>87</v>
      </c>
      <c r="J16" s="17" t="s">
        <v>88</v>
      </c>
      <c r="K16" s="14" t="s">
        <v>26</v>
      </c>
      <c r="L16" s="14"/>
      <c r="M16" s="14" t="s">
        <v>86</v>
      </c>
      <c r="N16" s="18">
        <v>50</v>
      </c>
      <c r="O16" s="18"/>
      <c r="P16" s="18"/>
      <c r="Q16" s="19"/>
      <c r="R16" s="20"/>
      <c r="S16" s="17"/>
      <c r="T16" s="20"/>
      <c r="U16" s="20">
        <f t="shared" si="1"/>
        <v>0</v>
      </c>
      <c r="V16" s="17" t="s">
        <v>20</v>
      </c>
      <c r="W16" s="21"/>
      <c r="X16" s="14"/>
    </row>
    <row r="17" spans="1:24" ht="15" customHeight="1" x14ac:dyDescent="0.25">
      <c r="A17" s="14" t="s">
        <v>97</v>
      </c>
      <c r="B17" s="14" t="s">
        <v>98</v>
      </c>
      <c r="C17" s="14" t="s">
        <v>18</v>
      </c>
      <c r="D17" s="15">
        <v>46310</v>
      </c>
      <c r="E17" s="15">
        <v>46356</v>
      </c>
      <c r="F17" s="16">
        <f t="shared" ca="1" si="0"/>
        <v>69</v>
      </c>
      <c r="G17" s="17" t="s">
        <v>96</v>
      </c>
      <c r="H17" s="17" t="s">
        <v>82</v>
      </c>
      <c r="I17" s="17" t="s">
        <v>80</v>
      </c>
      <c r="J17" s="17" t="s">
        <v>67</v>
      </c>
      <c r="K17" s="14" t="s">
        <v>19</v>
      </c>
      <c r="L17" s="14"/>
      <c r="M17" s="14" t="s">
        <v>83</v>
      </c>
      <c r="N17" s="18">
        <v>30</v>
      </c>
      <c r="O17" s="18"/>
      <c r="P17" s="18"/>
      <c r="Q17" s="19"/>
      <c r="R17" s="20"/>
      <c r="S17" s="17"/>
      <c r="T17" s="20"/>
      <c r="U17" s="20">
        <f t="shared" si="1"/>
        <v>0</v>
      </c>
      <c r="V17" s="17" t="s">
        <v>20</v>
      </c>
      <c r="W17" s="21"/>
      <c r="X17" s="14"/>
    </row>
    <row r="18" spans="1:24" ht="15" customHeight="1" x14ac:dyDescent="0.25">
      <c r="A18" s="14" t="s">
        <v>99</v>
      </c>
      <c r="B18" s="14" t="s">
        <v>100</v>
      </c>
      <c r="C18" s="14" t="s">
        <v>25</v>
      </c>
      <c r="D18" s="15">
        <v>46327</v>
      </c>
      <c r="E18" s="15">
        <v>46356</v>
      </c>
      <c r="F18" s="16">
        <f t="shared" ca="1" si="0"/>
        <v>69</v>
      </c>
      <c r="G18" s="17" t="s">
        <v>96</v>
      </c>
      <c r="H18" s="17" t="s">
        <v>85</v>
      </c>
      <c r="I18" s="17" t="s">
        <v>87</v>
      </c>
      <c r="J18" s="17" t="s">
        <v>88</v>
      </c>
      <c r="K18" s="14" t="s">
        <v>26</v>
      </c>
      <c r="L18" s="14"/>
      <c r="M18" s="14" t="s">
        <v>86</v>
      </c>
      <c r="N18" s="18">
        <v>25</v>
      </c>
      <c r="O18" s="18"/>
      <c r="P18" s="18"/>
      <c r="Q18" s="19"/>
      <c r="R18" s="20"/>
      <c r="S18" s="17"/>
      <c r="T18" s="20"/>
      <c r="U18" s="20">
        <f t="shared" si="1"/>
        <v>0</v>
      </c>
      <c r="V18" s="17" t="s">
        <v>20</v>
      </c>
      <c r="W18" s="21"/>
      <c r="X18" s="14"/>
    </row>
    <row r="19" spans="1:24" ht="15" customHeight="1" x14ac:dyDescent="0.25">
      <c r="A19" s="14" t="inlineStr">
        <is>
          <t>CAM-018</t>
        </is>
      </c>
      <c r="B19" s="14" t="s">
        <v>24</v>
      </c>
      <c r="C19" s="14" t="s">
        <v>25</v>
      </c>
      <c r="D19" s="15">
        <v>46327</v>
      </c>
      <c r="E19" s="15">
        <v>46356</v>
      </c>
      <c r="F19" s="16">
        <f t="shared" ca="1" si="0"/>
        <v>69</v>
      </c>
      <c r="G19" s="17" t="s">
        <v>96</v>
      </c>
      <c r="H19" s="17" t="s">
        <v>85</v>
      </c>
      <c r="I19" s="17" t="s">
        <v>87</v>
      </c>
      <c r="J19" s="17" t="s">
        <v>88</v>
      </c>
      <c r="K19" s="14" t="s">
        <v>26</v>
      </c>
      <c r="L19" s="14"/>
      <c r="M19" s="14" t="s">
        <v>86</v>
      </c>
      <c r="N19" s="18">
        <v>30</v>
      </c>
      <c r="O19" s="18"/>
      <c r="P19" s="18"/>
      <c r="Q19" s="19"/>
      <c r="R19" s="20"/>
      <c r="S19" s="17"/>
      <c r="T19" s="20"/>
      <c r="U19" s="20">
        <f t="shared" si="1"/>
        <v>0</v>
      </c>
      <c r="V19" s="17" t="s">
        <v>20</v>
      </c>
      <c r="W19" s="21"/>
      <c r="X19" s="14"/>
    </row>
    <row r="20" spans="1:24" ht="15" customHeight="1" x14ac:dyDescent="0.25">
      <c r="A20" s="14" t="s">
        <v>101</v>
      </c>
      <c r="B20" s="14" t="s">
        <v>102</v>
      </c>
      <c r="C20" s="14" t="s">
        <v>29</v>
      </c>
      <c r="D20" s="15">
        <v>46353</v>
      </c>
      <c r="E20" s="15">
        <v>46353</v>
      </c>
      <c r="F20" s="16">
        <f t="shared" ca="1" si="0"/>
        <v>66</v>
      </c>
      <c r="G20" s="17" t="s">
        <v>96</v>
      </c>
      <c r="H20" s="17" t="s">
        <v>85</v>
      </c>
      <c r="I20" s="17" t="s">
        <v>80</v>
      </c>
      <c r="J20" s="17" t="s">
        <v>88</v>
      </c>
      <c r="K20" s="14" t="s">
        <v>30</v>
      </c>
      <c r="L20" s="14"/>
      <c r="M20" s="14" t="s">
        <v>86</v>
      </c>
      <c r="N20" s="18">
        <v>20</v>
      </c>
      <c r="O20" s="18"/>
      <c r="P20" s="18"/>
      <c r="Q20" s="19"/>
      <c r="R20" s="20"/>
      <c r="S20" s="17"/>
      <c r="T20" s="20"/>
      <c r="U20" s="20">
        <f t="shared" si="1"/>
        <v>0</v>
      </c>
      <c r="V20" s="17" t="s">
        <v>20</v>
      </c>
      <c r="W20" s="21"/>
      <c r="X20" s="14"/>
    </row>
    <row r="21" spans="1:24" ht="15" customHeight="1" x14ac:dyDescent="0.25">
      <c r="A21" s="14" t="s">
        <v>34</v>
      </c>
      <c r="B21" s="14" t="s">
        <v>35</v>
      </c>
      <c r="C21" s="14" t="s">
        <v>18</v>
      </c>
      <c r="D21" s="15">
        <v>46266</v>
      </c>
      <c r="E21" s="15">
        <v>46310</v>
      </c>
      <c r="F21" s="16">
        <f t="shared" ca="1" si="0"/>
        <v>23</v>
      </c>
      <c r="G21" s="17" t="s">
        <v>79</v>
      </c>
      <c r="H21" s="17" t="s">
        <v>82</v>
      </c>
      <c r="I21" s="17" t="s">
        <v>80</v>
      </c>
      <c r="J21" s="17" t="s">
        <v>67</v>
      </c>
      <c r="K21" s="14" t="s">
        <v>19</v>
      </c>
      <c r="L21" s="14"/>
      <c r="M21" s="14"/>
      <c r="N21" s="18">
        <v>20</v>
      </c>
      <c r="O21" s="18">
        <v>50</v>
      </c>
      <c r="P21" s="18"/>
      <c r="Q21" s="19"/>
      <c r="R21" s="20"/>
      <c r="S21" s="17"/>
      <c r="T21" s="20"/>
      <c r="U21" s="20">
        <f t="shared" si="1"/>
        <v>0</v>
      </c>
      <c r="V21" s="17" t="s">
        <v>20</v>
      </c>
      <c r="W21" s="21"/>
      <c r="X21" s="14"/>
    </row>
  </sheetData>
  <autoFilter ref="A1:X21" xr:uid="{00000000-0001-0000-01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</autoFilter>
  <mergeCells count="3">
    <mergeCell ref="A1:X1"/>
    <mergeCell ref="A2:P2"/>
    <mergeCell ref="Q2:X2"/>
  </mergeCells>
  <conditionalFormatting sqref="U17">
    <cfRule type="expression" dxfId="15" priority="2">
      <formula>AND($A14&lt;&gt;"",U17&gt;0)</formula>
    </cfRule>
    <cfRule type="expression" dxfId="14" priority="3">
      <formula>AND($A14&lt;&gt;"",U17=0)</formula>
    </cfRule>
  </conditionalFormatting>
  <conditionalFormatting sqref="G4:G989">
    <cfRule type="expression" dxfId="13" priority="4">
      <formula>G4="Ativa"</formula>
    </cfRule>
    <cfRule type="expression" dxfId="12" priority="5">
      <formula>G4="Terminada"</formula>
    </cfRule>
    <cfRule type="expression" dxfId="11" priority="6">
      <formula>G4="Cancelada"</formula>
    </cfRule>
    <cfRule type="expression" dxfId="10" priority="7">
      <formula>G4="Programada"</formula>
    </cfRule>
  </conditionalFormatting>
  <conditionalFormatting sqref="V4:V989">
    <cfRule type="expression" dxfId="9" priority="8">
      <formula>V4="Liquidada"</formula>
    </cfRule>
    <cfRule type="expression" dxfId="8" priority="9">
      <formula>V4="Parcial"</formula>
    </cfRule>
    <cfRule type="expression" dxfId="7" priority="10">
      <formula>V4="Pendente"</formula>
    </cfRule>
    <cfRule type="expression" dxfId="6" priority="11">
      <formula>V4="Cancelada"</formula>
    </cfRule>
  </conditionalFormatting>
  <conditionalFormatting sqref="U4:U16 U18:U989">
    <cfRule type="expression" dxfId="5" priority="12">
      <formula>AND($A4&lt;&gt;"",U4&gt;0)</formula>
    </cfRule>
    <cfRule type="expression" dxfId="4" priority="13">
      <formula>AND($A4&lt;&gt;"",U4=0)</formula>
    </cfRule>
  </conditionalFormatting>
  <dataValidations count="8">
    <dataValidation type="list" allowBlank="1" showErrorMessage="1" sqref="G4:G12 G22:G989" xr:uid="{00000000-0002-0000-0100-000000000000}">
      <formula1>"Ativa,Programada,Terminada,Cancelada"</formula1>
      <formula2>0</formula2>
    </dataValidation>
    <dataValidation type="list" allowBlank="1" showErrorMessage="1" sqref="I4:I12 I22:I989" xr:uid="{00000000-0002-0000-0100-000001000000}">
      <formula1>"Dinheiro,Valor (produto),Nota de crédito"</formula1>
      <formula2>0</formula2>
    </dataValidation>
    <dataValidation type="list" allowBlank="1" showErrorMessage="1" sqref="V4:V12 V22:V989" xr:uid="{00000000-0002-0000-0100-000002000000}">
      <formula1>"Pendente,Parcial,Liquidada,Cancelada"</formula1>
      <formula2>0</formula2>
    </dataValidation>
    <dataValidation type="list" allowBlank="1" showInputMessage="1" showErrorMessage="1" sqref="G13:G21" xr:uid="{00000000-0002-0000-0100-000003000000}">
      <formula1>"Ativa,Programada,Terminada,Cancelada"</formula1>
      <formula2>0</formula2>
    </dataValidation>
    <dataValidation type="list" allowBlank="1" showInputMessage="1" showErrorMessage="1" sqref="I13:I21" xr:uid="{00000000-0002-0000-0100-000004000000}">
      <formula1>"Dinheiro,Valor (produto)"</formula1>
      <formula2>0</formula2>
    </dataValidation>
    <dataValidation type="list" allowBlank="1" showInputMessage="1" showErrorMessage="1" sqref="V13:V21" xr:uid="{00000000-0002-0000-0100-000005000000}">
      <formula1>"Pendente,Parcial,Liquidada,Cancelada"</formula1>
      <formula2>0</formula2>
    </dataValidation>
    <dataValidation type="list" allowBlank="1" sqref="J4:J989" xr:uid="{00000000-0002-0000-0100-000006000000}">
      <formula1>"Vendedor(a),Envio e-mail,Martkline,Site"</formula1>
      <formula2>0</formula2>
    </dataValidation>
    <dataValidation type="list" allowBlank="1" showErrorMessage="1" sqref="H4:H989" xr:uid="{00000000-0002-0000-0100-000007000000}">
      <formula1>"Código de Barras,Detalhe de Vendas"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8">
              <controlPr defaultSize="0" autoFill="0" autoPict="0" macro="Module1.AdicionarNovaCampanha">
                <anchor moveWithCells="1">
                  <from>
                    <xdr:col>6</xdr:col>
                    <xdr:colOff>619125</xdr:colOff>
                    <xdr:row>27</xdr:row>
                    <xdr:rowOff>9525</xdr:rowOff>
                  </from>
                  <to>
                    <xdr:col>7</xdr:col>
                    <xdr:colOff>523875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9">
              <controlPr defaultSize="0" autoFill="0" autoPict="0" macro="Module1.AtualizarEstadosAutomaticamente">
                <anchor moveWithCells="1">
                  <from>
                    <xdr:col>4</xdr:col>
                    <xdr:colOff>866775</xdr:colOff>
                    <xdr:row>26</xdr:row>
                    <xdr:rowOff>104775</xdr:rowOff>
                  </from>
                  <to>
                    <xdr:col>6</xdr:col>
                    <xdr:colOff>323850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21">
    <pageSetUpPr fitToPage="1"/>
  </sheetPr>
  <dimension ref="A1:V9"/>
  <sheetViews>
    <sheetView showGridLines="0" topLeftCell="B1" zoomScaleNormal="100" workbookViewId="0">
      <selection activeCell="D22" sqref="D22"/>
    </sheetView>
  </sheetViews>
  <sheetFormatPr defaultColWidth="8.7109375" defaultRowHeight="15" x14ac:dyDescent="0.25"/>
  <cols>
    <col min="1" max="1" width="1" customWidth="1"/>
    <col min="2" max="2" width="28" customWidth="1"/>
    <col min="3" max="3" width="1.5703125" customWidth="1"/>
    <col min="4" max="4" width="28" customWidth="1"/>
    <col min="5" max="5" width="1.5703125" customWidth="1"/>
    <col min="6" max="6" width="28" customWidth="1"/>
    <col min="7" max="7" width="1.5703125" customWidth="1"/>
    <col min="8" max="8" width="28" customWidth="1"/>
    <col min="9" max="9" width="1.5703125" customWidth="1"/>
    <col min="10" max="10" width="28" customWidth="1"/>
    <col min="11" max="11" width="1.5703125" customWidth="1"/>
    <col min="12" max="12" width="28" customWidth="1"/>
    <col min="13" max="13" width="1.5703125" customWidth="1"/>
    <col min="14" max="14" width="28" customWidth="1"/>
    <col min="15" max="15" width="1.5703125" customWidth="1"/>
    <col min="16" max="16" width="28" customWidth="1"/>
    <col min="17" max="17" width="1.5703125" customWidth="1"/>
    <col min="18" max="18" width="28" customWidth="1"/>
    <col min="19" max="19" width="1.5703125" customWidth="1"/>
    <col min="20" max="20" width="28" customWidth="1"/>
    <col min="21" max="21" width="1.5703125" customWidth="1"/>
  </cols>
  <sheetData>
    <row r="1" spans="1:22" ht="39.75" customHeight="1" x14ac:dyDescent="0.25">
      <c r="A1" s="83" t="s">
        <v>104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65"/>
      <c r="N1" s="65"/>
      <c r="O1" s="65"/>
      <c r="P1" s="65"/>
      <c r="Q1" s="65"/>
      <c r="R1" s="65"/>
      <c r="S1" s="65"/>
      <c r="T1" s="65"/>
      <c r="U1" s="25"/>
      <c r="V1" s="25"/>
    </row>
    <row r="2" spans="1:22" ht="21.75" customHeight="1" x14ac:dyDescent="0.25">
      <c r="A2" s="85" t="s">
        <v>574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66"/>
      <c r="N2" s="66"/>
      <c r="O2" s="66"/>
      <c r="P2" s="66"/>
      <c r="Q2" s="66"/>
      <c r="R2" s="66"/>
      <c r="S2" s="66"/>
      <c r="T2" s="66"/>
      <c r="U2" s="26"/>
      <c r="V2" s="26"/>
    </row>
    <row r="3" spans="1:22" ht="6" customHeight="1" thickBot="1" x14ac:dyDescent="0.3">
      <c r="A3" s="27"/>
    </row>
    <row r="4" spans="1:22" ht="49.5" customHeight="1" x14ac:dyDescent="0.25">
      <c r="B4" s="59" t="s">
        <v>18</v>
      </c>
      <c r="D4" s="59" t="s">
        <v>18</v>
      </c>
      <c r="F4" s="59" t="s">
        <v>25</v>
      </c>
      <c r="H4" s="59" t="s">
        <v>29</v>
      </c>
      <c r="J4" s="59" t="s">
        <v>33</v>
      </c>
      <c r="L4" s="59" t="s">
        <v>18</v>
      </c>
      <c r="N4" s="54"/>
      <c r="P4" s="54"/>
      <c r="R4" s="54"/>
      <c r="T4" s="54"/>
    </row>
    <row r="5" spans="1:22" ht="37.5" customHeight="1" x14ac:dyDescent="0.25">
      <c r="B5" s="60" t="s">
        <v>17</v>
      </c>
      <c r="D5" s="60" t="s">
        <v>22</v>
      </c>
      <c r="F5" s="60" t="s">
        <v>24</v>
      </c>
      <c r="H5" s="60" t="s">
        <v>28</v>
      </c>
      <c r="J5" s="60" t="s">
        <v>32</v>
      </c>
      <c r="L5" s="60" t="s">
        <v>35</v>
      </c>
      <c r="N5" s="55"/>
      <c r="P5" s="55"/>
      <c r="R5" s="55"/>
      <c r="T5" s="55"/>
    </row>
    <row r="6" spans="1:22" ht="90" customHeight="1" thickBot="1" x14ac:dyDescent="0.3">
      <c r="B6" s="61" t="s">
        <v>105</v>
      </c>
      <c r="D6" s="62">
        <v>0.3</v>
      </c>
      <c r="F6" s="62">
        <v>0.3</v>
      </c>
      <c r="H6" s="62">
        <v>0.3</v>
      </c>
      <c r="J6" s="63" t="s">
        <v>106</v>
      </c>
      <c r="L6" s="64" t="s">
        <v>107</v>
      </c>
      <c r="N6" s="56"/>
      <c r="P6" s="56"/>
      <c r="R6" s="57"/>
      <c r="T6" s="58"/>
    </row>
    <row r="8" spans="1:22" ht="15.75" customHeight="1" x14ac:dyDescent="0.25">
      <c r="A8" s="28"/>
    </row>
    <row r="9" spans="1:22" ht="15.75" customHeight="1" x14ac:dyDescent="0.25">
      <c r="A9" s="87" t="s">
        <v>108</v>
      </c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</row>
  </sheetData>
  <mergeCells count="3">
    <mergeCell ref="A1:L1"/>
    <mergeCell ref="A2:L2"/>
    <mergeCell ref="A9:U9"/>
  </mergeCells>
  <printOptions horizontalCentered="1" verticalCentered="1"/>
  <pageMargins left="0.2" right="0.2" top="0.2" bottom="0.2" header="0.511811023622047" footer="0.511811023622047"/>
  <pageSetup paperSize="9" scale="8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utton 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7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8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9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3" name="Button 10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4" name="Button 1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5" name="Button 1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6" name="Button 1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7" name="Button 1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8" name="Button 1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9" name="Button 1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2"/>
  <dimension ref="A1:K13"/>
  <sheetViews>
    <sheetView showGridLines="0" zoomScaleNormal="100" workbookViewId="0">
      <pane ySplit="3" topLeftCell="A7" activePane="bottomLeft" state="frozen"/>
      <selection pane="bottomLeft" activeCell="A8" sqref="A8"/>
    </sheetView>
  </sheetViews>
  <sheetFormatPr defaultColWidth="8.7109375" defaultRowHeight="15" x14ac:dyDescent="0.25"/>
  <cols>
    <col min="1" max="1" width="14" customWidth="1"/>
    <col min="2" max="2" width="10" customWidth="1"/>
    <col min="3" max="3" width="26" customWidth="1"/>
    <col min="4" max="4" width="16" customWidth="1"/>
    <col min="5" max="5" width="14" customWidth="1"/>
    <col min="6" max="6" width="18" customWidth="1"/>
    <col min="7" max="7" width="16" customWidth="1"/>
    <col min="8" max="8" width="18" customWidth="1"/>
    <col min="9" max="9" width="14" customWidth="1"/>
    <col min="10" max="10" width="20" customWidth="1"/>
    <col min="11" max="11" width="24" customWidth="1"/>
  </cols>
  <sheetData>
    <row r="1" spans="1:11" ht="31.5" customHeight="1" x14ac:dyDescent="0.25">
      <c r="A1" s="92" t="s">
        <v>109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27.75" customHeight="1" x14ac:dyDescent="0.25">
      <c r="A2" s="93" t="s">
        <v>110</v>
      </c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ht="27.75" customHeight="1" x14ac:dyDescent="0.25">
      <c r="A3" s="13" t="s">
        <v>111</v>
      </c>
      <c r="B3" s="13" t="s">
        <v>112</v>
      </c>
      <c r="C3" s="13" t="s">
        <v>113</v>
      </c>
      <c r="D3" s="13" t="s">
        <v>114</v>
      </c>
      <c r="E3" s="13" t="s">
        <v>115</v>
      </c>
      <c r="F3" s="13" t="s">
        <v>116</v>
      </c>
      <c r="G3" s="13" t="s">
        <v>117</v>
      </c>
      <c r="H3" s="13" t="s">
        <v>74</v>
      </c>
      <c r="I3" s="13" t="s">
        <v>118</v>
      </c>
      <c r="J3" s="13" t="s">
        <v>119</v>
      </c>
      <c r="K3" s="13" t="s">
        <v>120</v>
      </c>
    </row>
    <row r="4" spans="1:11" ht="18" customHeight="1" x14ac:dyDescent="0.25">
      <c r="A4" s="29" t="s">
        <v>121</v>
      </c>
      <c r="B4" s="29" t="s">
        <v>16</v>
      </c>
      <c r="C4" s="29"/>
      <c r="D4" s="29"/>
      <c r="E4" s="30" t="s">
        <v>122</v>
      </c>
      <c r="F4" s="29" t="s">
        <v>123</v>
      </c>
      <c r="G4" s="31">
        <v>750</v>
      </c>
      <c r="H4" s="29">
        <v>0</v>
      </c>
      <c r="I4" s="29" t="s">
        <v>124</v>
      </c>
      <c r="J4" s="29" t="s">
        <v>125</v>
      </c>
      <c r="K4" s="29" t="s">
        <v>126</v>
      </c>
    </row>
    <row r="5" spans="1:11" ht="18" customHeight="1" x14ac:dyDescent="0.25">
      <c r="A5" s="32" t="s">
        <v>127</v>
      </c>
      <c r="B5" s="32" t="s">
        <v>37</v>
      </c>
      <c r="C5" s="32"/>
      <c r="D5" s="32"/>
      <c r="E5" s="33" t="s">
        <v>128</v>
      </c>
      <c r="F5" s="32" t="s">
        <v>129</v>
      </c>
      <c r="G5" s="34">
        <v>0</v>
      </c>
      <c r="H5" s="32">
        <v>48</v>
      </c>
      <c r="I5" s="32" t="s">
        <v>130</v>
      </c>
      <c r="J5" s="32" t="s">
        <v>131</v>
      </c>
      <c r="K5" s="32" t="s">
        <v>132</v>
      </c>
    </row>
    <row r="6" spans="1:11" ht="18" customHeight="1" x14ac:dyDescent="0.25">
      <c r="A6" s="29" t="s">
        <v>133</v>
      </c>
      <c r="B6" s="29" t="s">
        <v>40</v>
      </c>
      <c r="C6" s="29"/>
      <c r="D6" s="29"/>
      <c r="E6" s="30" t="s">
        <v>134</v>
      </c>
      <c r="F6" s="29" t="s">
        <v>123</v>
      </c>
      <c r="G6" s="31">
        <v>1200</v>
      </c>
      <c r="H6" s="29">
        <v>0</v>
      </c>
      <c r="I6" s="29" t="s">
        <v>135</v>
      </c>
      <c r="J6" s="29" t="s">
        <v>136</v>
      </c>
      <c r="K6" s="29" t="s">
        <v>137</v>
      </c>
    </row>
    <row r="7" spans="1:11" ht="18" customHeight="1" x14ac:dyDescent="0.25">
      <c r="A7" s="32" t="s">
        <v>138</v>
      </c>
      <c r="B7" s="32" t="s">
        <v>46</v>
      </c>
      <c r="C7" s="32"/>
      <c r="D7" s="32"/>
      <c r="E7" s="33" t="s">
        <v>139</v>
      </c>
      <c r="F7" s="32" t="s">
        <v>140</v>
      </c>
      <c r="G7" s="34">
        <v>1000</v>
      </c>
      <c r="H7" s="32">
        <v>0</v>
      </c>
      <c r="I7" s="32" t="s">
        <v>141</v>
      </c>
      <c r="J7" s="32" t="s">
        <v>125</v>
      </c>
      <c r="K7" s="32" t="s">
        <v>142</v>
      </c>
    </row>
    <row r="8" spans="1:11" ht="18" customHeight="1" x14ac:dyDescent="0.25">
      <c r="A8" s="29" t="s">
        <v>143</v>
      </c>
      <c r="B8" s="29" t="s">
        <v>50</v>
      </c>
      <c r="C8" s="29"/>
      <c r="D8" s="29"/>
      <c r="E8" s="30" t="s">
        <v>144</v>
      </c>
      <c r="F8" s="29" t="s">
        <v>123</v>
      </c>
      <c r="G8" s="31">
        <v>1100</v>
      </c>
      <c r="H8" s="29">
        <v>0</v>
      </c>
      <c r="I8" s="29" t="s">
        <v>145</v>
      </c>
      <c r="J8" s="29" t="s">
        <v>146</v>
      </c>
      <c r="K8" s="29" t="s">
        <v>147</v>
      </c>
    </row>
    <row r="9" spans="1:11" ht="18" customHeight="1" x14ac:dyDescent="0.25">
      <c r="A9" s="35"/>
      <c r="B9" s="35"/>
      <c r="C9" s="35"/>
      <c r="D9" s="35"/>
      <c r="E9" s="36"/>
      <c r="F9" s="35"/>
      <c r="G9" s="37"/>
      <c r="H9" s="35"/>
      <c r="I9" s="35"/>
      <c r="J9" s="35"/>
      <c r="K9" s="35"/>
    </row>
    <row r="11" spans="1:11" ht="21.75" customHeight="1" x14ac:dyDescent="0.25">
      <c r="A11" s="94" t="s">
        <v>148</v>
      </c>
      <c r="B11" s="94"/>
      <c r="C11" s="94"/>
      <c r="D11" s="94"/>
      <c r="E11" s="94"/>
      <c r="F11" s="94"/>
      <c r="G11" s="94"/>
      <c r="H11" s="94"/>
      <c r="I11" s="94"/>
      <c r="J11" s="94"/>
      <c r="K11" s="94"/>
    </row>
    <row r="12" spans="1:11" ht="19.5" customHeight="1" x14ac:dyDescent="0.25">
      <c r="A12" s="95" t="s">
        <v>149</v>
      </c>
      <c r="B12" s="95"/>
      <c r="C12" s="95"/>
      <c r="D12" s="96" t="s">
        <v>150</v>
      </c>
      <c r="E12" s="96"/>
      <c r="F12" s="96"/>
      <c r="G12" s="97" t="s">
        <v>151</v>
      </c>
      <c r="H12" s="97"/>
      <c r="I12" s="97"/>
      <c r="J12" s="98" t="s">
        <v>152</v>
      </c>
      <c r="K12" s="98"/>
    </row>
    <row r="13" spans="1:11" ht="37.5" customHeight="1" x14ac:dyDescent="0.25">
      <c r="A13" s="88">
        <f>SUMIF(Historico_Movimentos[Tipo Movimento],"Transferência Bancária",Historico_Movimentos[Montante €])+SUMIF(Historico_Movimentos[Tipo Movimento],"Nota de Crédito",Historico_Movimentos[Montante €])</f>
        <v>4050</v>
      </c>
      <c r="B13" s="88"/>
      <c r="C13" s="88"/>
      <c r="D13" s="89">
        <f>SUMIF(Historico_Movimentos[Tipo Movimento],"Entrega de Produto",Historico_Movimentos[Qtd. Produto])</f>
        <v>48</v>
      </c>
      <c r="E13" s="89"/>
      <c r="F13" s="89"/>
      <c r="G13" s="90">
        <f>SUMIF(Historico_Movimentos[Tipo Movimento],"Estorno",Historico_Movimentos[Montante €])</f>
        <v>0</v>
      </c>
      <c r="H13" s="90"/>
      <c r="I13" s="90"/>
      <c r="J13" s="91">
        <f>COUNTA(Historico_Movimentos[ID Movimento])</f>
        <v>5</v>
      </c>
      <c r="K13" s="91"/>
    </row>
  </sheetData>
  <mergeCells count="11">
    <mergeCell ref="A13:C13"/>
    <mergeCell ref="D13:F13"/>
    <mergeCell ref="G13:I13"/>
    <mergeCell ref="J13:K13"/>
    <mergeCell ref="A1:K1"/>
    <mergeCell ref="A2:K2"/>
    <mergeCell ref="A11:K11"/>
    <mergeCell ref="A12:C12"/>
    <mergeCell ref="D12:F12"/>
    <mergeCell ref="G12:I12"/>
    <mergeCell ref="J12:K12"/>
  </mergeCells>
  <conditionalFormatting sqref="F4:F1001">
    <cfRule type="expression" dxfId="3" priority="2">
      <formula>F4="Transferência Bancária"</formula>
    </cfRule>
    <cfRule type="expression" dxfId="2" priority="3">
      <formula>F4="Entrega de Produto"</formula>
    </cfRule>
    <cfRule type="expression" dxfId="1" priority="4">
      <formula>F4="Nota de Crédito"</formula>
    </cfRule>
    <cfRule type="expression" dxfId="0" priority="5">
      <formula>F4="Estorno"</formula>
    </cfRule>
  </conditionalFormatting>
  <dataValidations count="1">
    <dataValidation type="list" sqref="F4:F1001" xr:uid="{00000000-0002-0000-0300-000000000000}">
      <formula1>"Transferência Bancária,Nota de Crédito,Entrega de Produto,Estorno,Acerto Final"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2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1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3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4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5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8" name="Button 6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9" name="Button 7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10" name="Button 8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Button 12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Button 13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Button 14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Button 15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Button 16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3"/>
  <dimension ref="A1:H19"/>
  <sheetViews>
    <sheetView showGridLines="0" zoomScaleNormal="100" workbookViewId="0">
      <selection activeCell="A6" sqref="A6"/>
    </sheetView>
  </sheetViews>
  <sheetFormatPr defaultColWidth="8.7109375" defaultRowHeight="15" x14ac:dyDescent="0.25"/>
  <cols>
    <col min="1" max="2" width="22" customWidth="1"/>
    <col min="3" max="3" width="28" customWidth="1"/>
    <col min="4" max="6" width="22" customWidth="1"/>
    <col min="7" max="7" width="20" customWidth="1"/>
    <col min="8" max="8" width="18" customWidth="1"/>
  </cols>
  <sheetData>
    <row r="1" spans="1:8" ht="15" customHeight="1" x14ac:dyDescent="0.25">
      <c r="A1" s="38" t="s">
        <v>153</v>
      </c>
      <c r="B1" s="38" t="s">
        <v>154</v>
      </c>
      <c r="C1" s="38" t="s">
        <v>155</v>
      </c>
      <c r="D1" s="38" t="s">
        <v>156</v>
      </c>
      <c r="E1" s="38" t="s">
        <v>157</v>
      </c>
      <c r="F1" s="39" t="s">
        <v>65</v>
      </c>
      <c r="G1" s="39" t="s">
        <v>66</v>
      </c>
      <c r="H1" s="39" t="s">
        <v>56</v>
      </c>
    </row>
    <row r="2" spans="1:8" ht="15" customHeight="1" x14ac:dyDescent="0.25">
      <c r="A2" s="40" t="s">
        <v>79</v>
      </c>
      <c r="B2" s="41" t="s">
        <v>87</v>
      </c>
      <c r="C2" s="41" t="s">
        <v>18</v>
      </c>
      <c r="D2" s="41" t="s">
        <v>19</v>
      </c>
      <c r="E2" s="42">
        <v>15</v>
      </c>
      <c r="F2" s="43" t="s">
        <v>82</v>
      </c>
      <c r="G2" s="43" t="s">
        <v>67</v>
      </c>
      <c r="H2" s="43" t="s">
        <v>87</v>
      </c>
    </row>
    <row r="3" spans="1:8" ht="15" customHeight="1" x14ac:dyDescent="0.25">
      <c r="A3" s="44" t="s">
        <v>39</v>
      </c>
      <c r="B3" s="41" t="s">
        <v>80</v>
      </c>
      <c r="C3" s="41" t="s">
        <v>158</v>
      </c>
      <c r="D3" s="41" t="s">
        <v>159</v>
      </c>
      <c r="E3" s="45" t="s">
        <v>160</v>
      </c>
      <c r="F3" s="43" t="s">
        <v>85</v>
      </c>
      <c r="G3" s="43" t="s">
        <v>88</v>
      </c>
      <c r="H3" s="43" t="s">
        <v>80</v>
      </c>
    </row>
    <row r="4" spans="1:8" ht="15" customHeight="1" x14ac:dyDescent="0.25">
      <c r="A4" s="46" t="s">
        <v>161</v>
      </c>
      <c r="C4" s="41" t="s">
        <v>33</v>
      </c>
      <c r="D4" s="41" t="s">
        <v>162</v>
      </c>
      <c r="G4" s="43" t="s">
        <v>163</v>
      </c>
      <c r="H4" s="43" t="s">
        <v>164</v>
      </c>
    </row>
    <row r="5" spans="1:8" ht="15" customHeight="1" x14ac:dyDescent="0.25">
      <c r="A5" s="47" t="s">
        <v>96</v>
      </c>
      <c r="C5" s="41" t="s">
        <v>29</v>
      </c>
      <c r="D5" s="41" t="s">
        <v>30</v>
      </c>
      <c r="G5" s="43" t="s">
        <v>165</v>
      </c>
    </row>
    <row r="6" spans="1:8" ht="15" customHeight="1" x14ac:dyDescent="0.25">
      <c r="A6" s="46"/>
      <c r="C6" s="41" t="s">
        <v>44</v>
      </c>
      <c r="D6" s="41" t="s">
        <v>45</v>
      </c>
    </row>
    <row r="7" spans="1:8" ht="15" customHeight="1" x14ac:dyDescent="0.25">
      <c r="C7" s="41" t="s">
        <v>48</v>
      </c>
      <c r="D7" s="41" t="s">
        <v>49</v>
      </c>
    </row>
    <row r="8" spans="1:8" ht="15" customHeight="1" x14ac:dyDescent="0.25">
      <c r="C8" s="41" t="s">
        <v>25</v>
      </c>
      <c r="D8" s="41" t="s">
        <v>26</v>
      </c>
    </row>
    <row r="9" spans="1:8" ht="15" customHeight="1" x14ac:dyDescent="0.25">
      <c r="C9" s="41" t="s">
        <v>53</v>
      </c>
      <c r="D9" s="41" t="s">
        <v>166</v>
      </c>
    </row>
    <row r="10" spans="1:8" ht="15" customHeight="1" x14ac:dyDescent="0.25">
      <c r="A10" s="48"/>
      <c r="C10" s="41" t="s">
        <v>167</v>
      </c>
      <c r="D10" s="41" t="s">
        <v>168</v>
      </c>
    </row>
    <row r="11" spans="1:8" ht="15" customHeight="1" x14ac:dyDescent="0.25">
      <c r="C11" s="41" t="s">
        <v>169</v>
      </c>
      <c r="D11" s="41" t="s">
        <v>170</v>
      </c>
    </row>
    <row r="12" spans="1:8" ht="15" customHeight="1" x14ac:dyDescent="0.25">
      <c r="C12" s="49"/>
      <c r="D12" s="49"/>
    </row>
    <row r="18" spans="1:5" ht="15" customHeight="1" x14ac:dyDescent="0.25">
      <c r="A18" s="99" t="s">
        <v>171</v>
      </c>
      <c r="B18" s="99"/>
      <c r="C18" s="99"/>
      <c r="D18" s="99"/>
      <c r="E18" s="99"/>
    </row>
    <row r="19" spans="1:5" ht="15" customHeight="1" x14ac:dyDescent="0.25">
      <c r="C19" s="49" t="s">
        <v>172</v>
      </c>
      <c r="D19" s="49" t="s">
        <v>173</v>
      </c>
    </row>
  </sheetData>
  <mergeCells count="1">
    <mergeCell ref="A18:E18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24"/>
  <dimension ref="A1:A722"/>
  <sheetViews>
    <sheetView showGridLines="0" zoomScaleNormal="100" workbookViewId="0">
      <selection activeCell="A690" sqref="A690"/>
    </sheetView>
  </sheetViews>
  <sheetFormatPr defaultColWidth="8.7109375" defaultRowHeight="15" x14ac:dyDescent="0.25"/>
  <cols>
    <col min="1" max="1" width="110" customWidth="1"/>
  </cols>
  <sheetData>
    <row r="1" spans="1:1" ht="30" customHeight="1" x14ac:dyDescent="0.25">
      <c r="A1" s="50" t="s">
        <v>174</v>
      </c>
    </row>
    <row r="2" spans="1:1" ht="13.5" customHeight="1" x14ac:dyDescent="0.25">
      <c r="A2" s="51" t="s">
        <v>175</v>
      </c>
    </row>
    <row r="3" spans="1:1" ht="13.5" customHeight="1" x14ac:dyDescent="0.25">
      <c r="A3" s="51"/>
    </row>
    <row r="4" spans="1:1" ht="13.5" customHeight="1" x14ac:dyDescent="0.25">
      <c r="A4" s="52" t="s">
        <v>176</v>
      </c>
    </row>
    <row r="5" spans="1:1" ht="13.5" customHeight="1" x14ac:dyDescent="0.25">
      <c r="A5" s="52" t="s">
        <v>177</v>
      </c>
    </row>
    <row r="6" spans="1:1" ht="13.5" customHeight="1" x14ac:dyDescent="0.25">
      <c r="A6" s="52" t="s">
        <v>176</v>
      </c>
    </row>
    <row r="7" spans="1:1" ht="13.5" customHeight="1" x14ac:dyDescent="0.25">
      <c r="A7" s="53" t="s">
        <v>178</v>
      </c>
    </row>
    <row r="8" spans="1:1" ht="13.5" customHeight="1" x14ac:dyDescent="0.25">
      <c r="A8" s="51" t="s">
        <v>179</v>
      </c>
    </row>
    <row r="9" spans="1:1" ht="13.5" customHeight="1" x14ac:dyDescent="0.25">
      <c r="A9" s="51" t="s">
        <v>180</v>
      </c>
    </row>
    <row r="10" spans="1:1" ht="13.5" customHeight="1" x14ac:dyDescent="0.25">
      <c r="A10" s="51" t="s">
        <v>181</v>
      </c>
    </row>
    <row r="11" spans="1:1" ht="13.5" customHeight="1" x14ac:dyDescent="0.25">
      <c r="A11" s="51" t="s">
        <v>182</v>
      </c>
    </row>
    <row r="12" spans="1:1" ht="13.5" customHeight="1" x14ac:dyDescent="0.25">
      <c r="A12" s="51" t="s">
        <v>183</v>
      </c>
    </row>
    <row r="13" spans="1:1" ht="13.5" customHeight="1" x14ac:dyDescent="0.25">
      <c r="A13" s="51" t="s">
        <v>184</v>
      </c>
    </row>
    <row r="14" spans="1:1" ht="13.5" customHeight="1" x14ac:dyDescent="0.25">
      <c r="A14" s="51" t="s">
        <v>185</v>
      </c>
    </row>
    <row r="15" spans="1:1" ht="13.5" customHeight="1" x14ac:dyDescent="0.25">
      <c r="A15" s="51" t="s">
        <v>186</v>
      </c>
    </row>
    <row r="16" spans="1:1" ht="13.5" customHeight="1" x14ac:dyDescent="0.25">
      <c r="A16" s="51" t="s">
        <v>187</v>
      </c>
    </row>
    <row r="17" spans="1:1" ht="13.5" customHeight="1" x14ac:dyDescent="0.25">
      <c r="A17" s="51" t="s">
        <v>188</v>
      </c>
    </row>
    <row r="18" spans="1:1" ht="13.5" customHeight="1" x14ac:dyDescent="0.25">
      <c r="A18" s="51" t="s">
        <v>189</v>
      </c>
    </row>
    <row r="19" spans="1:1" ht="13.5" customHeight="1" x14ac:dyDescent="0.25">
      <c r="A19" s="51" t="s">
        <v>190</v>
      </c>
    </row>
    <row r="20" spans="1:1" ht="13.5" customHeight="1" x14ac:dyDescent="0.25">
      <c r="A20" s="51" t="s">
        <v>191</v>
      </c>
    </row>
    <row r="21" spans="1:1" ht="13.5" customHeight="1" x14ac:dyDescent="0.25">
      <c r="A21" s="51" t="s">
        <v>192</v>
      </c>
    </row>
    <row r="22" spans="1:1" ht="13.5" customHeight="1" x14ac:dyDescent="0.25">
      <c r="A22" s="51" t="s">
        <v>193</v>
      </c>
    </row>
    <row r="23" spans="1:1" ht="13.5" customHeight="1" x14ac:dyDescent="0.25">
      <c r="A23" s="51" t="s">
        <v>194</v>
      </c>
    </row>
    <row r="24" spans="1:1" ht="13.5" customHeight="1" x14ac:dyDescent="0.25">
      <c r="A24" s="51" t="s">
        <v>195</v>
      </c>
    </row>
    <row r="25" spans="1:1" ht="13.5" customHeight="1" x14ac:dyDescent="0.25">
      <c r="A25" s="51" t="s">
        <v>196</v>
      </c>
    </row>
    <row r="26" spans="1:1" ht="13.5" customHeight="1" x14ac:dyDescent="0.25">
      <c r="A26" s="51" t="s">
        <v>197</v>
      </c>
    </row>
    <row r="27" spans="1:1" ht="13.5" customHeight="1" x14ac:dyDescent="0.25">
      <c r="A27" s="51" t="s">
        <v>198</v>
      </c>
    </row>
    <row r="28" spans="1:1" ht="13.5" customHeight="1" x14ac:dyDescent="0.25">
      <c r="A28" s="51" t="s">
        <v>199</v>
      </c>
    </row>
    <row r="29" spans="1:1" ht="13.5" customHeight="1" x14ac:dyDescent="0.25">
      <c r="A29" s="51" t="s">
        <v>200</v>
      </c>
    </row>
    <row r="30" spans="1:1" ht="13.5" customHeight="1" x14ac:dyDescent="0.25">
      <c r="A30" s="51" t="s">
        <v>201</v>
      </c>
    </row>
    <row r="31" spans="1:1" ht="13.5" customHeight="1" x14ac:dyDescent="0.25">
      <c r="A31" s="51" t="s">
        <v>202</v>
      </c>
    </row>
    <row r="32" spans="1:1" ht="13.5" customHeight="1" x14ac:dyDescent="0.25">
      <c r="A32" s="53" t="s">
        <v>203</v>
      </c>
    </row>
    <row r="33" spans="1:1" ht="13.5" customHeight="1" x14ac:dyDescent="0.25">
      <c r="A33" s="51"/>
    </row>
    <row r="34" spans="1:1" ht="13.5" customHeight="1" x14ac:dyDescent="0.25">
      <c r="A34" s="52" t="s">
        <v>176</v>
      </c>
    </row>
    <row r="35" spans="1:1" ht="13.5" customHeight="1" x14ac:dyDescent="0.25">
      <c r="A35" s="52" t="s">
        <v>204</v>
      </c>
    </row>
    <row r="36" spans="1:1" ht="13.5" customHeight="1" x14ac:dyDescent="0.25">
      <c r="A36" s="52" t="s">
        <v>205</v>
      </c>
    </row>
    <row r="37" spans="1:1" ht="13.5" customHeight="1" x14ac:dyDescent="0.25">
      <c r="A37" s="52" t="s">
        <v>206</v>
      </c>
    </row>
    <row r="38" spans="1:1" ht="13.5" customHeight="1" x14ac:dyDescent="0.25">
      <c r="A38" s="53" t="s">
        <v>207</v>
      </c>
    </row>
    <row r="39" spans="1:1" ht="13.5" customHeight="1" x14ac:dyDescent="0.25">
      <c r="A39" s="51" t="s">
        <v>176</v>
      </c>
    </row>
    <row r="40" spans="1:1" ht="13.5" customHeight="1" x14ac:dyDescent="0.25">
      <c r="A40" s="51" t="s">
        <v>208</v>
      </c>
    </row>
    <row r="41" spans="1:1" ht="13.5" customHeight="1" x14ac:dyDescent="0.25">
      <c r="A41" s="51" t="s">
        <v>209</v>
      </c>
    </row>
    <row r="42" spans="1:1" ht="13.5" customHeight="1" x14ac:dyDescent="0.25">
      <c r="A42" s="51" t="s">
        <v>210</v>
      </c>
    </row>
    <row r="43" spans="1:1" ht="13.5" customHeight="1" x14ac:dyDescent="0.25">
      <c r="A43" s="51" t="s">
        <v>211</v>
      </c>
    </row>
    <row r="44" spans="1:1" ht="13.5" customHeight="1" x14ac:dyDescent="0.25">
      <c r="A44" s="51" t="s">
        <v>212</v>
      </c>
    </row>
    <row r="45" spans="1:1" ht="13.5" customHeight="1" x14ac:dyDescent="0.25">
      <c r="A45" s="51" t="s">
        <v>213</v>
      </c>
    </row>
    <row r="46" spans="1:1" ht="13.5" customHeight="1" x14ac:dyDescent="0.25">
      <c r="A46" s="51" t="s">
        <v>214</v>
      </c>
    </row>
    <row r="47" spans="1:1" ht="13.5" customHeight="1" x14ac:dyDescent="0.25">
      <c r="A47" s="51" t="s">
        <v>215</v>
      </c>
    </row>
    <row r="48" spans="1:1" ht="13.5" customHeight="1" x14ac:dyDescent="0.25">
      <c r="A48" s="51" t="s">
        <v>216</v>
      </c>
    </row>
    <row r="49" spans="1:1" ht="13.5" customHeight="1" x14ac:dyDescent="0.25">
      <c r="A49" s="51" t="s">
        <v>217</v>
      </c>
    </row>
    <row r="50" spans="1:1" ht="13.5" customHeight="1" x14ac:dyDescent="0.25">
      <c r="A50" s="51" t="s">
        <v>218</v>
      </c>
    </row>
    <row r="51" spans="1:1" ht="13.5" customHeight="1" x14ac:dyDescent="0.25">
      <c r="A51" s="51" t="s">
        <v>219</v>
      </c>
    </row>
    <row r="52" spans="1:1" ht="13.5" customHeight="1" x14ac:dyDescent="0.25">
      <c r="A52" s="51" t="s">
        <v>220</v>
      </c>
    </row>
    <row r="53" spans="1:1" ht="13.5" customHeight="1" x14ac:dyDescent="0.25">
      <c r="A53" s="51" t="s">
        <v>221</v>
      </c>
    </row>
    <row r="54" spans="1:1" ht="13.5" customHeight="1" x14ac:dyDescent="0.25">
      <c r="A54" s="51" t="s">
        <v>222</v>
      </c>
    </row>
    <row r="55" spans="1:1" ht="13.5" customHeight="1" x14ac:dyDescent="0.25">
      <c r="A55" s="51" t="s">
        <v>223</v>
      </c>
    </row>
    <row r="56" spans="1:1" ht="13.5" customHeight="1" x14ac:dyDescent="0.25">
      <c r="A56" s="51" t="s">
        <v>224</v>
      </c>
    </row>
    <row r="57" spans="1:1" ht="13.5" customHeight="1" x14ac:dyDescent="0.25">
      <c r="A57" s="51" t="s">
        <v>225</v>
      </c>
    </row>
    <row r="58" spans="1:1" ht="13.5" customHeight="1" x14ac:dyDescent="0.25">
      <c r="A58" s="51" t="s">
        <v>226</v>
      </c>
    </row>
    <row r="59" spans="1:1" ht="13.5" customHeight="1" x14ac:dyDescent="0.25">
      <c r="A59" s="51" t="s">
        <v>227</v>
      </c>
    </row>
    <row r="60" spans="1:1" ht="13.5" customHeight="1" x14ac:dyDescent="0.25">
      <c r="A60" s="51" t="s">
        <v>228</v>
      </c>
    </row>
    <row r="61" spans="1:1" ht="13.5" customHeight="1" x14ac:dyDescent="0.25">
      <c r="A61" s="51" t="s">
        <v>229</v>
      </c>
    </row>
    <row r="62" spans="1:1" ht="13.5" customHeight="1" x14ac:dyDescent="0.25">
      <c r="A62" s="51" t="s">
        <v>230</v>
      </c>
    </row>
    <row r="63" spans="1:1" ht="13.5" customHeight="1" x14ac:dyDescent="0.25">
      <c r="A63" s="51" t="s">
        <v>231</v>
      </c>
    </row>
    <row r="64" spans="1:1" ht="13.5" customHeight="1" x14ac:dyDescent="0.25">
      <c r="A64" s="53" t="s">
        <v>232</v>
      </c>
    </row>
    <row r="65" spans="1:1" ht="13.5" customHeight="1" x14ac:dyDescent="0.25">
      <c r="A65" s="51" t="s">
        <v>224</v>
      </c>
    </row>
    <row r="66" spans="1:1" ht="13.5" customHeight="1" x14ac:dyDescent="0.25">
      <c r="A66" s="52" t="s">
        <v>226</v>
      </c>
    </row>
    <row r="67" spans="1:1" ht="13.5" customHeight="1" x14ac:dyDescent="0.25">
      <c r="A67" s="52" t="s">
        <v>227</v>
      </c>
    </row>
    <row r="68" spans="1:1" ht="13.5" customHeight="1" x14ac:dyDescent="0.25">
      <c r="A68" s="52" t="s">
        <v>233</v>
      </c>
    </row>
    <row r="69" spans="1:1" ht="13.5" customHeight="1" x14ac:dyDescent="0.25">
      <c r="A69" s="53" t="s">
        <v>234</v>
      </c>
    </row>
    <row r="70" spans="1:1" ht="13.5" customHeight="1" x14ac:dyDescent="0.25">
      <c r="A70" s="51" t="s">
        <v>235</v>
      </c>
    </row>
    <row r="71" spans="1:1" ht="13.5" customHeight="1" x14ac:dyDescent="0.25">
      <c r="A71" s="51" t="s">
        <v>236</v>
      </c>
    </row>
    <row r="72" spans="1:1" ht="13.5" customHeight="1" x14ac:dyDescent="0.25">
      <c r="A72" s="51" t="s">
        <v>237</v>
      </c>
    </row>
    <row r="73" spans="1:1" ht="13.5" customHeight="1" x14ac:dyDescent="0.25">
      <c r="A73" s="51" t="s">
        <v>200</v>
      </c>
    </row>
    <row r="74" spans="1:1" ht="13.5" customHeight="1" x14ac:dyDescent="0.25">
      <c r="A74" s="51" t="s">
        <v>238</v>
      </c>
    </row>
    <row r="75" spans="1:1" ht="13.5" customHeight="1" x14ac:dyDescent="0.25">
      <c r="A75" s="51" t="s">
        <v>202</v>
      </c>
    </row>
    <row r="76" spans="1:1" ht="13.5" customHeight="1" x14ac:dyDescent="0.25">
      <c r="A76" s="51" t="s">
        <v>203</v>
      </c>
    </row>
    <row r="77" spans="1:1" ht="13.5" customHeight="1" x14ac:dyDescent="0.25">
      <c r="A77" s="51"/>
    </row>
    <row r="78" spans="1:1" ht="13.5" customHeight="1" x14ac:dyDescent="0.25">
      <c r="A78" s="51" t="s">
        <v>176</v>
      </c>
    </row>
    <row r="79" spans="1:1" ht="13.5" customHeight="1" x14ac:dyDescent="0.25">
      <c r="A79" s="51" t="s">
        <v>239</v>
      </c>
    </row>
    <row r="80" spans="1:1" ht="13.5" customHeight="1" x14ac:dyDescent="0.25">
      <c r="A80" s="53" t="s">
        <v>176</v>
      </c>
    </row>
    <row r="81" spans="1:1" ht="13.5" customHeight="1" x14ac:dyDescent="0.25">
      <c r="A81" s="51" t="s">
        <v>240</v>
      </c>
    </row>
    <row r="82" spans="1:1" ht="13.5" customHeight="1" x14ac:dyDescent="0.25">
      <c r="A82" s="52" t="s">
        <v>209</v>
      </c>
    </row>
    <row r="83" spans="1:1" ht="13.5" customHeight="1" x14ac:dyDescent="0.25">
      <c r="A83" s="52" t="s">
        <v>241</v>
      </c>
    </row>
    <row r="84" spans="1:1" ht="13.5" customHeight="1" x14ac:dyDescent="0.25">
      <c r="A84" s="52" t="s">
        <v>212</v>
      </c>
    </row>
    <row r="85" spans="1:1" ht="13.5" customHeight="1" x14ac:dyDescent="0.25">
      <c r="A85" s="53" t="s">
        <v>213</v>
      </c>
    </row>
    <row r="86" spans="1:1" ht="13.5" customHeight="1" x14ac:dyDescent="0.25">
      <c r="A86" s="51" t="s">
        <v>242</v>
      </c>
    </row>
    <row r="87" spans="1:1" ht="13.5" customHeight="1" x14ac:dyDescent="0.25">
      <c r="A87" s="51" t="s">
        <v>243</v>
      </c>
    </row>
    <row r="88" spans="1:1" ht="13.5" customHeight="1" x14ac:dyDescent="0.25">
      <c r="A88" s="51" t="s">
        <v>244</v>
      </c>
    </row>
    <row r="89" spans="1:1" ht="13.5" customHeight="1" x14ac:dyDescent="0.25">
      <c r="A89" s="51" t="s">
        <v>202</v>
      </c>
    </row>
    <row r="90" spans="1:1" ht="13.5" customHeight="1" x14ac:dyDescent="0.25">
      <c r="A90" s="51" t="s">
        <v>245</v>
      </c>
    </row>
    <row r="91" spans="1:1" ht="13.5" customHeight="1" x14ac:dyDescent="0.25">
      <c r="A91" s="51" t="s">
        <v>246</v>
      </c>
    </row>
    <row r="92" spans="1:1" ht="13.5" customHeight="1" x14ac:dyDescent="0.25">
      <c r="A92" s="51" t="s">
        <v>247</v>
      </c>
    </row>
    <row r="93" spans="1:1" ht="13.5" customHeight="1" x14ac:dyDescent="0.25">
      <c r="A93" s="51"/>
    </row>
    <row r="94" spans="1:1" ht="13.5" customHeight="1" x14ac:dyDescent="0.25">
      <c r="A94" s="51" t="s">
        <v>176</v>
      </c>
    </row>
    <row r="95" spans="1:1" ht="13.5" customHeight="1" x14ac:dyDescent="0.25">
      <c r="A95" s="51" t="s">
        <v>248</v>
      </c>
    </row>
    <row r="96" spans="1:1" ht="13.5" customHeight="1" x14ac:dyDescent="0.25">
      <c r="A96" s="51" t="s">
        <v>176</v>
      </c>
    </row>
    <row r="97" spans="1:1" ht="13.5" customHeight="1" x14ac:dyDescent="0.25">
      <c r="A97" s="51" t="s">
        <v>249</v>
      </c>
    </row>
    <row r="98" spans="1:1" ht="13.5" customHeight="1" x14ac:dyDescent="0.25">
      <c r="A98" s="51" t="s">
        <v>209</v>
      </c>
    </row>
    <row r="99" spans="1:1" ht="13.5" customHeight="1" x14ac:dyDescent="0.25">
      <c r="A99" s="51" t="s">
        <v>250</v>
      </c>
    </row>
    <row r="100" spans="1:1" ht="13.5" customHeight="1" x14ac:dyDescent="0.25">
      <c r="A100" s="51" t="s">
        <v>212</v>
      </c>
    </row>
    <row r="101" spans="1:1" ht="13.5" customHeight="1" x14ac:dyDescent="0.25">
      <c r="A101" s="51" t="s">
        <v>213</v>
      </c>
    </row>
    <row r="102" spans="1:1" ht="13.5" customHeight="1" x14ac:dyDescent="0.25">
      <c r="A102" s="51" t="s">
        <v>251</v>
      </c>
    </row>
    <row r="103" spans="1:1" ht="13.5" customHeight="1" x14ac:dyDescent="0.25">
      <c r="A103" s="51" t="s">
        <v>252</v>
      </c>
    </row>
    <row r="104" spans="1:1" ht="13.5" customHeight="1" x14ac:dyDescent="0.25">
      <c r="A104" s="51" t="s">
        <v>253</v>
      </c>
    </row>
    <row r="105" spans="1:1" ht="13.5" customHeight="1" x14ac:dyDescent="0.25">
      <c r="A105" s="51" t="s">
        <v>254</v>
      </c>
    </row>
    <row r="106" spans="1:1" ht="13.5" customHeight="1" x14ac:dyDescent="0.25">
      <c r="A106" s="51" t="s">
        <v>255</v>
      </c>
    </row>
    <row r="107" spans="1:1" ht="13.5" customHeight="1" x14ac:dyDescent="0.25">
      <c r="A107" s="51" t="s">
        <v>256</v>
      </c>
    </row>
    <row r="108" spans="1:1" ht="13.5" customHeight="1" x14ac:dyDescent="0.25">
      <c r="A108" s="51" t="s">
        <v>257</v>
      </c>
    </row>
    <row r="109" spans="1:1" ht="13.5" customHeight="1" x14ac:dyDescent="0.25">
      <c r="A109" s="51" t="s">
        <v>258</v>
      </c>
    </row>
    <row r="110" spans="1:1" ht="13.5" customHeight="1" x14ac:dyDescent="0.25">
      <c r="A110" s="51" t="s">
        <v>259</v>
      </c>
    </row>
    <row r="111" spans="1:1" ht="13.5" customHeight="1" x14ac:dyDescent="0.25">
      <c r="A111" s="51" t="s">
        <v>260</v>
      </c>
    </row>
    <row r="112" spans="1:1" ht="13.5" customHeight="1" x14ac:dyDescent="0.25">
      <c r="A112" s="51" t="s">
        <v>261</v>
      </c>
    </row>
    <row r="113" spans="1:1" ht="13.5" customHeight="1" x14ac:dyDescent="0.25">
      <c r="A113" s="51" t="s">
        <v>262</v>
      </c>
    </row>
    <row r="114" spans="1:1" ht="13.5" customHeight="1" x14ac:dyDescent="0.25">
      <c r="A114" s="51" t="s">
        <v>263</v>
      </c>
    </row>
    <row r="115" spans="1:1" ht="13.5" customHeight="1" x14ac:dyDescent="0.25">
      <c r="A115" s="51" t="s">
        <v>264</v>
      </c>
    </row>
    <row r="116" spans="1:1" ht="13.5" customHeight="1" x14ac:dyDescent="0.25">
      <c r="A116" s="51" t="s">
        <v>265</v>
      </c>
    </row>
    <row r="117" spans="1:1" ht="13.5" customHeight="1" x14ac:dyDescent="0.25">
      <c r="A117" s="51" t="s">
        <v>265</v>
      </c>
    </row>
    <row r="118" spans="1:1" ht="13.5" customHeight="1" x14ac:dyDescent="0.25">
      <c r="A118" s="51" t="s">
        <v>266</v>
      </c>
    </row>
    <row r="119" spans="1:1" ht="13.5" customHeight="1" x14ac:dyDescent="0.25">
      <c r="A119" s="51" t="s">
        <v>267</v>
      </c>
    </row>
    <row r="120" spans="1:1" ht="13.5" customHeight="1" x14ac:dyDescent="0.25">
      <c r="A120" s="51" t="s">
        <v>268</v>
      </c>
    </row>
    <row r="121" spans="1:1" ht="13.5" customHeight="1" x14ac:dyDescent="0.25">
      <c r="A121" s="51" t="s">
        <v>269</v>
      </c>
    </row>
    <row r="122" spans="1:1" ht="13.5" customHeight="1" x14ac:dyDescent="0.25">
      <c r="A122" s="51" t="s">
        <v>270</v>
      </c>
    </row>
    <row r="123" spans="1:1" ht="13.5" customHeight="1" x14ac:dyDescent="0.25">
      <c r="A123" s="51" t="s">
        <v>195</v>
      </c>
    </row>
    <row r="124" spans="1:1" ht="13.5" customHeight="1" x14ac:dyDescent="0.25">
      <c r="A124" s="51" t="s">
        <v>271</v>
      </c>
    </row>
    <row r="125" spans="1:1" ht="13.5" customHeight="1" x14ac:dyDescent="0.25">
      <c r="A125" s="51" t="s">
        <v>268</v>
      </c>
    </row>
    <row r="126" spans="1:1" ht="13.5" customHeight="1" x14ac:dyDescent="0.25">
      <c r="A126" s="51" t="s">
        <v>272</v>
      </c>
    </row>
    <row r="127" spans="1:1" ht="13.5" customHeight="1" x14ac:dyDescent="0.25">
      <c r="A127" s="53" t="s">
        <v>195</v>
      </c>
    </row>
    <row r="128" spans="1:1" ht="13.5" customHeight="1" x14ac:dyDescent="0.25">
      <c r="A128" s="51" t="s">
        <v>273</v>
      </c>
    </row>
    <row r="129" spans="1:1" ht="13.5" customHeight="1" x14ac:dyDescent="0.25">
      <c r="A129" s="52" t="s">
        <v>268</v>
      </c>
    </row>
    <row r="130" spans="1:1" ht="13.5" customHeight="1" x14ac:dyDescent="0.25">
      <c r="A130" s="52" t="s">
        <v>274</v>
      </c>
    </row>
    <row r="131" spans="1:1" ht="13.5" customHeight="1" x14ac:dyDescent="0.25">
      <c r="A131" s="52" t="s">
        <v>195</v>
      </c>
    </row>
    <row r="132" spans="1:1" ht="13.5" customHeight="1" x14ac:dyDescent="0.25">
      <c r="A132" s="53" t="s">
        <v>275</v>
      </c>
    </row>
    <row r="133" spans="1:1" ht="13.5" customHeight="1" x14ac:dyDescent="0.25">
      <c r="A133" s="51" t="s">
        <v>268</v>
      </c>
    </row>
    <row r="134" spans="1:1" ht="13.5" customHeight="1" x14ac:dyDescent="0.25">
      <c r="A134" s="51" t="s">
        <v>276</v>
      </c>
    </row>
    <row r="135" spans="1:1" ht="13.5" customHeight="1" x14ac:dyDescent="0.25">
      <c r="A135" s="51" t="s">
        <v>195</v>
      </c>
    </row>
    <row r="136" spans="1:1" ht="13.5" customHeight="1" x14ac:dyDescent="0.25">
      <c r="A136" s="51" t="s">
        <v>277</v>
      </c>
    </row>
    <row r="137" spans="1:1" ht="13.5" customHeight="1" x14ac:dyDescent="0.25">
      <c r="A137" s="51" t="s">
        <v>278</v>
      </c>
    </row>
    <row r="138" spans="1:1" ht="13.5" customHeight="1" x14ac:dyDescent="0.25">
      <c r="A138" s="51" t="s">
        <v>279</v>
      </c>
    </row>
    <row r="139" spans="1:1" ht="13.5" customHeight="1" x14ac:dyDescent="0.25">
      <c r="A139" s="51" t="s">
        <v>203</v>
      </c>
    </row>
    <row r="140" spans="1:1" ht="13.5" customHeight="1" x14ac:dyDescent="0.25">
      <c r="A140" s="51"/>
    </row>
    <row r="141" spans="1:1" ht="13.5" customHeight="1" x14ac:dyDescent="0.25">
      <c r="A141" s="51" t="s">
        <v>176</v>
      </c>
    </row>
    <row r="142" spans="1:1" ht="13.5" customHeight="1" x14ac:dyDescent="0.25">
      <c r="A142" s="51" t="s">
        <v>280</v>
      </c>
    </row>
    <row r="143" spans="1:1" ht="13.5" customHeight="1" x14ac:dyDescent="0.25">
      <c r="A143" s="51" t="s">
        <v>176</v>
      </c>
    </row>
    <row r="144" spans="1:1" ht="13.5" customHeight="1" x14ac:dyDescent="0.25">
      <c r="A144" s="53" t="s">
        <v>281</v>
      </c>
    </row>
    <row r="145" spans="1:1" ht="13.5" customHeight="1" x14ac:dyDescent="0.25">
      <c r="A145" s="51" t="s">
        <v>282</v>
      </c>
    </row>
    <row r="146" spans="1:1" ht="13.5" customHeight="1" x14ac:dyDescent="0.25">
      <c r="A146" s="52" t="s">
        <v>283</v>
      </c>
    </row>
    <row r="147" spans="1:1" ht="13.5" customHeight="1" x14ac:dyDescent="0.25">
      <c r="A147" s="52" t="s">
        <v>284</v>
      </c>
    </row>
    <row r="148" spans="1:1" ht="13.5" customHeight="1" x14ac:dyDescent="0.25">
      <c r="A148" s="52" t="s">
        <v>285</v>
      </c>
    </row>
    <row r="149" spans="1:1" ht="13.5" customHeight="1" x14ac:dyDescent="0.25">
      <c r="A149" s="53" t="s">
        <v>286</v>
      </c>
    </row>
    <row r="150" spans="1:1" ht="13.5" customHeight="1" x14ac:dyDescent="0.25">
      <c r="A150" s="51" t="s">
        <v>287</v>
      </c>
    </row>
    <row r="151" spans="1:1" ht="13.5" customHeight="1" x14ac:dyDescent="0.25">
      <c r="A151" s="51" t="s">
        <v>288</v>
      </c>
    </row>
    <row r="152" spans="1:1" ht="13.5" customHeight="1" x14ac:dyDescent="0.25">
      <c r="A152" s="51" t="s">
        <v>289</v>
      </c>
    </row>
    <row r="153" spans="1:1" ht="13.5" customHeight="1" x14ac:dyDescent="0.25">
      <c r="A153" s="51" t="s">
        <v>233</v>
      </c>
    </row>
    <row r="154" spans="1:1" ht="13.5" customHeight="1" x14ac:dyDescent="0.25">
      <c r="A154" s="51" t="s">
        <v>290</v>
      </c>
    </row>
    <row r="155" spans="1:1" ht="13.5" customHeight="1" x14ac:dyDescent="0.25">
      <c r="A155" s="51" t="s">
        <v>291</v>
      </c>
    </row>
    <row r="156" spans="1:1" ht="13.5" customHeight="1" x14ac:dyDescent="0.25">
      <c r="A156" s="51" t="s">
        <v>247</v>
      </c>
    </row>
    <row r="157" spans="1:1" ht="13.5" customHeight="1" x14ac:dyDescent="0.25">
      <c r="A157" s="51"/>
    </row>
    <row r="158" spans="1:1" ht="13.5" customHeight="1" x14ac:dyDescent="0.25">
      <c r="A158" s="51" t="s">
        <v>176</v>
      </c>
    </row>
    <row r="159" spans="1:1" ht="13.5" customHeight="1" x14ac:dyDescent="0.25">
      <c r="A159" s="51" t="s">
        <v>292</v>
      </c>
    </row>
    <row r="160" spans="1:1" ht="13.5" customHeight="1" x14ac:dyDescent="0.25">
      <c r="A160" s="51" t="s">
        <v>176</v>
      </c>
    </row>
    <row r="161" spans="1:1" ht="13.5" customHeight="1" x14ac:dyDescent="0.25">
      <c r="A161" s="51" t="s">
        <v>293</v>
      </c>
    </row>
    <row r="162" spans="1:1" ht="13.5" customHeight="1" x14ac:dyDescent="0.25">
      <c r="A162" s="51" t="s">
        <v>282</v>
      </c>
    </row>
    <row r="163" spans="1:1" ht="13.5" customHeight="1" x14ac:dyDescent="0.25">
      <c r="A163" s="51" t="s">
        <v>294</v>
      </c>
    </row>
    <row r="164" spans="1:1" ht="13.5" customHeight="1" x14ac:dyDescent="0.25">
      <c r="A164" s="51" t="s">
        <v>295</v>
      </c>
    </row>
    <row r="165" spans="1:1" ht="13.5" customHeight="1" x14ac:dyDescent="0.25">
      <c r="A165" s="51" t="s">
        <v>296</v>
      </c>
    </row>
    <row r="166" spans="1:1" ht="13.5" customHeight="1" x14ac:dyDescent="0.25">
      <c r="A166" s="51" t="s">
        <v>297</v>
      </c>
    </row>
    <row r="167" spans="1:1" ht="13.5" customHeight="1" x14ac:dyDescent="0.25">
      <c r="A167" s="51" t="s">
        <v>298</v>
      </c>
    </row>
    <row r="168" spans="1:1" ht="13.5" customHeight="1" x14ac:dyDescent="0.25">
      <c r="A168" s="51"/>
    </row>
    <row r="169" spans="1:1" ht="13.5" customHeight="1" x14ac:dyDescent="0.25">
      <c r="A169" s="51" t="s">
        <v>284</v>
      </c>
    </row>
    <row r="170" spans="1:1" ht="13.5" customHeight="1" x14ac:dyDescent="0.25">
      <c r="A170" s="51"/>
    </row>
    <row r="171" spans="1:1" ht="13.5" customHeight="1" x14ac:dyDescent="0.25">
      <c r="A171" s="51" t="s">
        <v>299</v>
      </c>
    </row>
    <row r="172" spans="1:1" ht="13.5" customHeight="1" x14ac:dyDescent="0.25">
      <c r="A172" s="51" t="s">
        <v>300</v>
      </c>
    </row>
    <row r="173" spans="1:1" ht="13.5" customHeight="1" x14ac:dyDescent="0.25">
      <c r="A173" s="51" t="s">
        <v>301</v>
      </c>
    </row>
    <row r="174" spans="1:1" ht="13.5" customHeight="1" x14ac:dyDescent="0.25">
      <c r="A174" s="51" t="s">
        <v>302</v>
      </c>
    </row>
    <row r="175" spans="1:1" ht="13.5" customHeight="1" x14ac:dyDescent="0.25">
      <c r="A175" s="51" t="s">
        <v>303</v>
      </c>
    </row>
    <row r="176" spans="1:1" ht="13.5" customHeight="1" x14ac:dyDescent="0.25">
      <c r="A176" s="51" t="s">
        <v>233</v>
      </c>
    </row>
    <row r="177" spans="1:1" ht="13.5" customHeight="1" x14ac:dyDescent="0.25">
      <c r="A177" s="51" t="s">
        <v>290</v>
      </c>
    </row>
    <row r="178" spans="1:1" ht="13.5" customHeight="1" x14ac:dyDescent="0.25">
      <c r="A178" s="51"/>
    </row>
    <row r="179" spans="1:1" ht="13.5" customHeight="1" x14ac:dyDescent="0.25">
      <c r="A179" s="51" t="s">
        <v>304</v>
      </c>
    </row>
    <row r="180" spans="1:1" ht="13.5" customHeight="1" x14ac:dyDescent="0.25">
      <c r="A180" s="51" t="s">
        <v>305</v>
      </c>
    </row>
    <row r="181" spans="1:1" ht="13.5" customHeight="1" x14ac:dyDescent="0.25">
      <c r="A181" s="51" t="s">
        <v>287</v>
      </c>
    </row>
    <row r="182" spans="1:1" ht="13.5" customHeight="1" x14ac:dyDescent="0.25">
      <c r="A182" s="51" t="s">
        <v>306</v>
      </c>
    </row>
    <row r="183" spans="1:1" ht="13.5" customHeight="1" x14ac:dyDescent="0.25">
      <c r="A183" s="51" t="s">
        <v>233</v>
      </c>
    </row>
    <row r="184" spans="1:1" ht="13.5" customHeight="1" x14ac:dyDescent="0.25">
      <c r="A184" s="51" t="s">
        <v>290</v>
      </c>
    </row>
    <row r="185" spans="1:1" ht="13.5" customHeight="1" x14ac:dyDescent="0.25">
      <c r="A185" s="51"/>
    </row>
    <row r="186" spans="1:1" ht="13.5" customHeight="1" x14ac:dyDescent="0.25">
      <c r="A186" s="51" t="s">
        <v>307</v>
      </c>
    </row>
    <row r="187" spans="1:1" ht="13.5" customHeight="1" x14ac:dyDescent="0.25">
      <c r="A187" s="51" t="s">
        <v>308</v>
      </c>
    </row>
    <row r="188" spans="1:1" ht="13.5" customHeight="1" x14ac:dyDescent="0.25">
      <c r="A188" s="51" t="s">
        <v>309</v>
      </c>
    </row>
    <row r="189" spans="1:1" ht="13.5" customHeight="1" x14ac:dyDescent="0.25">
      <c r="A189" s="51" t="s">
        <v>202</v>
      </c>
    </row>
    <row r="190" spans="1:1" ht="13.5" customHeight="1" x14ac:dyDescent="0.25">
      <c r="A190" s="51"/>
    </row>
    <row r="191" spans="1:1" ht="13.5" customHeight="1" x14ac:dyDescent="0.25">
      <c r="A191" s="51" t="s">
        <v>310</v>
      </c>
    </row>
    <row r="192" spans="1:1" ht="13.5" customHeight="1" x14ac:dyDescent="0.25">
      <c r="A192" s="51" t="s">
        <v>311</v>
      </c>
    </row>
    <row r="193" spans="1:1" ht="13.5" customHeight="1" x14ac:dyDescent="0.25">
      <c r="A193" s="51"/>
    </row>
    <row r="194" spans="1:1" ht="13.5" customHeight="1" x14ac:dyDescent="0.25">
      <c r="A194" s="51" t="s">
        <v>312</v>
      </c>
    </row>
    <row r="195" spans="1:1" ht="13.5" customHeight="1" x14ac:dyDescent="0.25">
      <c r="A195" s="51" t="s">
        <v>313</v>
      </c>
    </row>
    <row r="196" spans="1:1" ht="13.5" customHeight="1" x14ac:dyDescent="0.25">
      <c r="A196" s="51" t="s">
        <v>314</v>
      </c>
    </row>
    <row r="197" spans="1:1" ht="13.5" customHeight="1" x14ac:dyDescent="0.25">
      <c r="A197" s="51" t="s">
        <v>315</v>
      </c>
    </row>
    <row r="198" spans="1:1" ht="13.5" customHeight="1" x14ac:dyDescent="0.25">
      <c r="A198" s="51" t="s">
        <v>316</v>
      </c>
    </row>
    <row r="199" spans="1:1" ht="13.5" customHeight="1" x14ac:dyDescent="0.25">
      <c r="A199" s="51" t="s">
        <v>317</v>
      </c>
    </row>
    <row r="200" spans="1:1" ht="13.5" customHeight="1" x14ac:dyDescent="0.25">
      <c r="A200" s="51" t="s">
        <v>318</v>
      </c>
    </row>
    <row r="201" spans="1:1" ht="13.5" customHeight="1" x14ac:dyDescent="0.25">
      <c r="A201" s="51" t="s">
        <v>319</v>
      </c>
    </row>
    <row r="202" spans="1:1" ht="13.5" customHeight="1" x14ac:dyDescent="0.25">
      <c r="A202" s="51" t="s">
        <v>320</v>
      </c>
    </row>
    <row r="203" spans="1:1" ht="13.5" customHeight="1" x14ac:dyDescent="0.25">
      <c r="A203" s="51"/>
    </row>
    <row r="204" spans="1:1" ht="13.5" customHeight="1" x14ac:dyDescent="0.25">
      <c r="A204" s="51" t="s">
        <v>321</v>
      </c>
    </row>
    <row r="205" spans="1:1" ht="13.5" customHeight="1" x14ac:dyDescent="0.25">
      <c r="A205" s="51" t="s">
        <v>322</v>
      </c>
    </row>
    <row r="206" spans="1:1" ht="13.5" customHeight="1" x14ac:dyDescent="0.25">
      <c r="A206" s="51" t="s">
        <v>323</v>
      </c>
    </row>
    <row r="207" spans="1:1" ht="13.5" customHeight="1" x14ac:dyDescent="0.25">
      <c r="A207" s="51" t="s">
        <v>324</v>
      </c>
    </row>
    <row r="208" spans="1:1" ht="13.5" customHeight="1" x14ac:dyDescent="0.25">
      <c r="A208" s="51" t="s">
        <v>325</v>
      </c>
    </row>
    <row r="209" spans="1:1" ht="13.5" customHeight="1" x14ac:dyDescent="0.25">
      <c r="A209" s="51"/>
    </row>
    <row r="210" spans="1:1" ht="13.5" customHeight="1" x14ac:dyDescent="0.25">
      <c r="A210" s="51" t="s">
        <v>326</v>
      </c>
    </row>
    <row r="211" spans="1:1" ht="13.5" customHeight="1" x14ac:dyDescent="0.25">
      <c r="A211" s="51" t="s">
        <v>327</v>
      </c>
    </row>
    <row r="212" spans="1:1" ht="13.5" customHeight="1" x14ac:dyDescent="0.25">
      <c r="A212" s="51" t="s">
        <v>260</v>
      </c>
    </row>
    <row r="213" spans="1:1" ht="13.5" customHeight="1" x14ac:dyDescent="0.25">
      <c r="A213" s="51"/>
    </row>
    <row r="214" spans="1:1" ht="13.5" customHeight="1" x14ac:dyDescent="0.25">
      <c r="A214" s="51" t="s">
        <v>328</v>
      </c>
    </row>
    <row r="215" spans="1:1" ht="13.5" customHeight="1" x14ac:dyDescent="0.25">
      <c r="A215" s="51" t="s">
        <v>329</v>
      </c>
    </row>
    <row r="216" spans="1:1" ht="13.5" customHeight="1" x14ac:dyDescent="0.25">
      <c r="A216" s="51" t="s">
        <v>330</v>
      </c>
    </row>
    <row r="217" spans="1:1" ht="13.5" customHeight="1" x14ac:dyDescent="0.25">
      <c r="A217" s="51" t="s">
        <v>331</v>
      </c>
    </row>
    <row r="218" spans="1:1" ht="13.5" customHeight="1" x14ac:dyDescent="0.25">
      <c r="A218" s="51" t="s">
        <v>332</v>
      </c>
    </row>
    <row r="219" spans="1:1" ht="13.5" customHeight="1" x14ac:dyDescent="0.25">
      <c r="A219" s="51" t="s">
        <v>333</v>
      </c>
    </row>
    <row r="220" spans="1:1" ht="13.5" customHeight="1" x14ac:dyDescent="0.25">
      <c r="A220" s="51" t="s">
        <v>334</v>
      </c>
    </row>
    <row r="221" spans="1:1" ht="13.5" customHeight="1" x14ac:dyDescent="0.25">
      <c r="A221" s="51" t="s">
        <v>335</v>
      </c>
    </row>
    <row r="222" spans="1:1" ht="13.5" customHeight="1" x14ac:dyDescent="0.25">
      <c r="A222" s="53" t="s">
        <v>336</v>
      </c>
    </row>
    <row r="223" spans="1:1" ht="13.5" customHeight="1" x14ac:dyDescent="0.25">
      <c r="A223" s="51" t="s">
        <v>337</v>
      </c>
    </row>
    <row r="224" spans="1:1" ht="13.5" customHeight="1" x14ac:dyDescent="0.25">
      <c r="A224" s="52" t="s">
        <v>338</v>
      </c>
    </row>
    <row r="225" spans="1:1" ht="13.5" customHeight="1" x14ac:dyDescent="0.25">
      <c r="A225" s="52" t="s">
        <v>339</v>
      </c>
    </row>
    <row r="226" spans="1:1" ht="13.5" customHeight="1" x14ac:dyDescent="0.25">
      <c r="A226" s="52" t="s">
        <v>340</v>
      </c>
    </row>
    <row r="227" spans="1:1" ht="13.5" customHeight="1" x14ac:dyDescent="0.25">
      <c r="A227" s="51"/>
    </row>
    <row r="228" spans="1:1" ht="13.5" customHeight="1" x14ac:dyDescent="0.25">
      <c r="A228" s="52" t="s">
        <v>341</v>
      </c>
    </row>
    <row r="229" spans="1:1" ht="13.5" customHeight="1" x14ac:dyDescent="0.25">
      <c r="A229" s="52" t="s">
        <v>268</v>
      </c>
    </row>
    <row r="230" spans="1:1" ht="13.5" customHeight="1" x14ac:dyDescent="0.25">
      <c r="A230" s="52" t="s">
        <v>342</v>
      </c>
    </row>
    <row r="231" spans="1:1" ht="13.5" customHeight="1" x14ac:dyDescent="0.25">
      <c r="A231" s="52" t="s">
        <v>195</v>
      </c>
    </row>
    <row r="232" spans="1:1" ht="13.5" customHeight="1" x14ac:dyDescent="0.25">
      <c r="A232" s="53"/>
    </row>
    <row r="233" spans="1:1" ht="13.5" customHeight="1" x14ac:dyDescent="0.25">
      <c r="A233" s="51" t="s">
        <v>343</v>
      </c>
    </row>
    <row r="234" spans="1:1" ht="13.5" customHeight="1" x14ac:dyDescent="0.25">
      <c r="A234" s="51" t="s">
        <v>203</v>
      </c>
    </row>
    <row r="235" spans="1:1" ht="13.5" customHeight="1" x14ac:dyDescent="0.25">
      <c r="A235" s="51"/>
    </row>
    <row r="236" spans="1:1" ht="13.5" customHeight="1" x14ac:dyDescent="0.25">
      <c r="A236" s="51" t="s">
        <v>176</v>
      </c>
    </row>
    <row r="237" spans="1:1" ht="13.5" customHeight="1" x14ac:dyDescent="0.25">
      <c r="A237" s="51" t="s">
        <v>344</v>
      </c>
    </row>
    <row r="238" spans="1:1" ht="13.5" customHeight="1" x14ac:dyDescent="0.25">
      <c r="A238" s="51" t="s">
        <v>176</v>
      </c>
    </row>
    <row r="239" spans="1:1" ht="13.5" customHeight="1" x14ac:dyDescent="0.25">
      <c r="A239" s="51"/>
    </row>
    <row r="240" spans="1:1" ht="13.5" customHeight="1" x14ac:dyDescent="0.25">
      <c r="A240" s="51" t="s">
        <v>176</v>
      </c>
    </row>
    <row r="241" spans="1:1" ht="13.5" customHeight="1" x14ac:dyDescent="0.25">
      <c r="A241" s="51" t="s">
        <v>345</v>
      </c>
    </row>
    <row r="242" spans="1:1" ht="13.5" customHeight="1" x14ac:dyDescent="0.25">
      <c r="A242" s="51" t="s">
        <v>346</v>
      </c>
    </row>
    <row r="243" spans="1:1" ht="13.5" customHeight="1" x14ac:dyDescent="0.25">
      <c r="A243" s="51" t="s">
        <v>176</v>
      </c>
    </row>
    <row r="244" spans="1:1" ht="13.5" customHeight="1" x14ac:dyDescent="0.25">
      <c r="A244" s="51" t="s">
        <v>347</v>
      </c>
    </row>
    <row r="245" spans="1:1" ht="13.5" customHeight="1" x14ac:dyDescent="0.25">
      <c r="A245" s="51" t="s">
        <v>348</v>
      </c>
    </row>
    <row r="246" spans="1:1" ht="13.5" customHeight="1" x14ac:dyDescent="0.25">
      <c r="A246" s="51" t="s">
        <v>349</v>
      </c>
    </row>
    <row r="247" spans="1:1" ht="13.5" customHeight="1" x14ac:dyDescent="0.25">
      <c r="A247" s="51" t="s">
        <v>350</v>
      </c>
    </row>
    <row r="248" spans="1:1" ht="13.5" customHeight="1" x14ac:dyDescent="0.25">
      <c r="A248" s="51" t="s">
        <v>351</v>
      </c>
    </row>
    <row r="249" spans="1:1" ht="13.5" customHeight="1" x14ac:dyDescent="0.25">
      <c r="A249" s="51" t="s">
        <v>352</v>
      </c>
    </row>
    <row r="250" spans="1:1" ht="13.5" customHeight="1" x14ac:dyDescent="0.25">
      <c r="A250" s="51" t="s">
        <v>353</v>
      </c>
    </row>
    <row r="251" spans="1:1" ht="13.5" customHeight="1" x14ac:dyDescent="0.25">
      <c r="A251" s="51"/>
    </row>
    <row r="252" spans="1:1" ht="13.5" customHeight="1" x14ac:dyDescent="0.25">
      <c r="A252" s="51" t="s">
        <v>212</v>
      </c>
    </row>
    <row r="253" spans="1:1" ht="13.5" customHeight="1" x14ac:dyDescent="0.25">
      <c r="A253" s="51" t="s">
        <v>354</v>
      </c>
    </row>
    <row r="254" spans="1:1" ht="13.5" customHeight="1" x14ac:dyDescent="0.25">
      <c r="A254" s="51" t="s">
        <v>213</v>
      </c>
    </row>
    <row r="255" spans="1:1" ht="13.5" customHeight="1" x14ac:dyDescent="0.25">
      <c r="A255" s="51"/>
    </row>
    <row r="256" spans="1:1" ht="13.5" customHeight="1" x14ac:dyDescent="0.25">
      <c r="A256" s="51" t="s">
        <v>355</v>
      </c>
    </row>
    <row r="257" spans="1:1" ht="13.5" customHeight="1" x14ac:dyDescent="0.25">
      <c r="A257" s="51" t="s">
        <v>356</v>
      </c>
    </row>
    <row r="258" spans="1:1" ht="13.5" customHeight="1" x14ac:dyDescent="0.25">
      <c r="A258" s="51" t="s">
        <v>357</v>
      </c>
    </row>
    <row r="259" spans="1:1" ht="13.5" customHeight="1" x14ac:dyDescent="0.25">
      <c r="A259" s="51" t="s">
        <v>358</v>
      </c>
    </row>
    <row r="260" spans="1:1" ht="13.5" customHeight="1" x14ac:dyDescent="0.25">
      <c r="A260" s="51" t="s">
        <v>359</v>
      </c>
    </row>
    <row r="261" spans="1:1" ht="13.5" customHeight="1" x14ac:dyDescent="0.25">
      <c r="A261" s="51" t="s">
        <v>360</v>
      </c>
    </row>
    <row r="262" spans="1:1" ht="13.5" customHeight="1" x14ac:dyDescent="0.25">
      <c r="A262" s="51" t="s">
        <v>361</v>
      </c>
    </row>
    <row r="263" spans="1:1" ht="13.5" customHeight="1" x14ac:dyDescent="0.25">
      <c r="A263" s="51" t="s">
        <v>362</v>
      </c>
    </row>
    <row r="264" spans="1:1" ht="13.5" customHeight="1" x14ac:dyDescent="0.25">
      <c r="A264" s="51" t="s">
        <v>363</v>
      </c>
    </row>
    <row r="265" spans="1:1" ht="13.5" customHeight="1" x14ac:dyDescent="0.25">
      <c r="A265" s="51" t="s">
        <v>364</v>
      </c>
    </row>
    <row r="266" spans="1:1" ht="13.5" customHeight="1" x14ac:dyDescent="0.25">
      <c r="A266" s="51" t="s">
        <v>365</v>
      </c>
    </row>
    <row r="267" spans="1:1" ht="13.5" customHeight="1" x14ac:dyDescent="0.25">
      <c r="A267" s="51" t="s">
        <v>366</v>
      </c>
    </row>
    <row r="268" spans="1:1" ht="13.5" customHeight="1" x14ac:dyDescent="0.25">
      <c r="A268" s="51"/>
    </row>
    <row r="269" spans="1:1" ht="13.5" customHeight="1" x14ac:dyDescent="0.25">
      <c r="A269" s="51" t="s">
        <v>367</v>
      </c>
    </row>
    <row r="270" spans="1:1" ht="13.5" customHeight="1" x14ac:dyDescent="0.25">
      <c r="A270" s="51" t="s">
        <v>368</v>
      </c>
    </row>
    <row r="271" spans="1:1" ht="13.5" customHeight="1" x14ac:dyDescent="0.25">
      <c r="A271" s="51" t="s">
        <v>369</v>
      </c>
    </row>
    <row r="272" spans="1:1" ht="13.5" customHeight="1" x14ac:dyDescent="0.25">
      <c r="A272" s="51" t="s">
        <v>370</v>
      </c>
    </row>
    <row r="273" spans="1:1" ht="13.5" customHeight="1" x14ac:dyDescent="0.25">
      <c r="A273" s="51" t="s">
        <v>371</v>
      </c>
    </row>
    <row r="274" spans="1:1" ht="13.5" customHeight="1" x14ac:dyDescent="0.25">
      <c r="A274" s="51" t="s">
        <v>372</v>
      </c>
    </row>
    <row r="275" spans="1:1" ht="13.5" customHeight="1" x14ac:dyDescent="0.25">
      <c r="A275" s="51" t="s">
        <v>373</v>
      </c>
    </row>
    <row r="276" spans="1:1" ht="13.5" customHeight="1" x14ac:dyDescent="0.25">
      <c r="A276" s="51" t="s">
        <v>374</v>
      </c>
    </row>
    <row r="277" spans="1:1" ht="13.5" customHeight="1" x14ac:dyDescent="0.25">
      <c r="A277" s="51" t="s">
        <v>375</v>
      </c>
    </row>
    <row r="278" spans="1:1" ht="13.5" customHeight="1" x14ac:dyDescent="0.25">
      <c r="A278" s="51" t="s">
        <v>376</v>
      </c>
    </row>
    <row r="279" spans="1:1" ht="13.5" customHeight="1" x14ac:dyDescent="0.25">
      <c r="A279" t="s">
        <v>377</v>
      </c>
    </row>
    <row r="280" spans="1:1" ht="13.5" customHeight="1" x14ac:dyDescent="0.25">
      <c r="A280" s="51"/>
    </row>
    <row r="281" spans="1:1" ht="13.5" customHeight="1" x14ac:dyDescent="0.25">
      <c r="A281" t="s">
        <v>378</v>
      </c>
    </row>
    <row r="282" spans="1:1" ht="13.5" customHeight="1" x14ac:dyDescent="0.25">
      <c r="A282" t="s">
        <v>379</v>
      </c>
    </row>
    <row r="283" spans="1:1" ht="13.5" customHeight="1" x14ac:dyDescent="0.25">
      <c r="A283" t="s">
        <v>380</v>
      </c>
    </row>
    <row r="284" spans="1:1" ht="13.5" customHeight="1" x14ac:dyDescent="0.25">
      <c r="A284" t="s">
        <v>381</v>
      </c>
    </row>
    <row r="285" spans="1:1" ht="13.5" customHeight="1" x14ac:dyDescent="0.25">
      <c r="A285" s="51" t="s">
        <v>382</v>
      </c>
    </row>
    <row r="286" spans="1:1" ht="13.5" customHeight="1" x14ac:dyDescent="0.25">
      <c r="A286" s="51" t="s">
        <v>383</v>
      </c>
    </row>
    <row r="287" spans="1:1" ht="13.5" customHeight="1" x14ac:dyDescent="0.25">
      <c r="A287" s="51" t="s">
        <v>384</v>
      </c>
    </row>
    <row r="288" spans="1:1" ht="13.5" customHeight="1" x14ac:dyDescent="0.25">
      <c r="A288" s="51" t="s">
        <v>226</v>
      </c>
    </row>
    <row r="289" spans="1:1" ht="13.5" customHeight="1" x14ac:dyDescent="0.25">
      <c r="A289" s="51" t="s">
        <v>385</v>
      </c>
    </row>
    <row r="290" spans="1:1" ht="13.5" customHeight="1" x14ac:dyDescent="0.25">
      <c r="A290" s="51" t="s">
        <v>386</v>
      </c>
    </row>
    <row r="291" spans="1:1" ht="13.5" customHeight="1" x14ac:dyDescent="0.25">
      <c r="A291" s="51" t="s">
        <v>387</v>
      </c>
    </row>
    <row r="292" spans="1:1" ht="13.5" customHeight="1" x14ac:dyDescent="0.25">
      <c r="A292" s="51" t="s">
        <v>227</v>
      </c>
    </row>
    <row r="293" spans="1:1" ht="13.5" customHeight="1" x14ac:dyDescent="0.25">
      <c r="A293" s="51" t="s">
        <v>388</v>
      </c>
    </row>
    <row r="294" spans="1:1" ht="13.5" customHeight="1" x14ac:dyDescent="0.25">
      <c r="A294" s="51" t="s">
        <v>389</v>
      </c>
    </row>
    <row r="295" spans="1:1" ht="13.5" customHeight="1" x14ac:dyDescent="0.25">
      <c r="A295" s="51" t="s">
        <v>390</v>
      </c>
    </row>
    <row r="296" spans="1:1" ht="13.5" customHeight="1" x14ac:dyDescent="0.25">
      <c r="A296" s="51"/>
    </row>
    <row r="297" spans="1:1" ht="13.5" customHeight="1" x14ac:dyDescent="0.25">
      <c r="A297" s="51" t="s">
        <v>391</v>
      </c>
    </row>
    <row r="298" spans="1:1" ht="13.5" customHeight="1" x14ac:dyDescent="0.25">
      <c r="A298" s="51" t="s">
        <v>392</v>
      </c>
    </row>
    <row r="299" spans="1:1" ht="13.5" customHeight="1" x14ac:dyDescent="0.25">
      <c r="A299" s="51" t="s">
        <v>393</v>
      </c>
    </row>
    <row r="300" spans="1:1" ht="13.5" customHeight="1" x14ac:dyDescent="0.25">
      <c r="A300" s="51" t="s">
        <v>394</v>
      </c>
    </row>
    <row r="301" spans="1:1" ht="13.5" customHeight="1" x14ac:dyDescent="0.25">
      <c r="A301" s="51" t="s">
        <v>395</v>
      </c>
    </row>
    <row r="302" spans="1:1" ht="13.5" customHeight="1" x14ac:dyDescent="0.25">
      <c r="A302" s="51" t="s">
        <v>396</v>
      </c>
    </row>
    <row r="303" spans="1:1" ht="13.5" customHeight="1" x14ac:dyDescent="0.25">
      <c r="A303" s="51" t="s">
        <v>397</v>
      </c>
    </row>
    <row r="304" spans="1:1" ht="13.5" customHeight="1" x14ac:dyDescent="0.25">
      <c r="A304" s="51" t="s">
        <v>398</v>
      </c>
    </row>
    <row r="305" spans="1:1" ht="13.5" customHeight="1" x14ac:dyDescent="0.25">
      <c r="A305" s="51" t="s">
        <v>399</v>
      </c>
    </row>
    <row r="306" spans="1:1" ht="13.5" customHeight="1" x14ac:dyDescent="0.25">
      <c r="A306" s="51" t="s">
        <v>400</v>
      </c>
    </row>
    <row r="307" spans="1:1" ht="13.5" customHeight="1" x14ac:dyDescent="0.25">
      <c r="A307" s="51" t="s">
        <v>401</v>
      </c>
    </row>
    <row r="308" spans="1:1" ht="13.5" customHeight="1" x14ac:dyDescent="0.25">
      <c r="A308" s="51" t="s">
        <v>402</v>
      </c>
    </row>
    <row r="309" spans="1:1" ht="13.5" customHeight="1" x14ac:dyDescent="0.25">
      <c r="A309" s="51" t="s">
        <v>394</v>
      </c>
    </row>
    <row r="310" spans="1:1" ht="13.5" customHeight="1" x14ac:dyDescent="0.25">
      <c r="A310" s="51" t="s">
        <v>395</v>
      </c>
    </row>
    <row r="311" spans="1:1" ht="13.5" customHeight="1" x14ac:dyDescent="0.25">
      <c r="A311" s="51" t="s">
        <v>396</v>
      </c>
    </row>
    <row r="312" spans="1:1" ht="13.5" customHeight="1" x14ac:dyDescent="0.25">
      <c r="A312" s="51" t="s">
        <v>397</v>
      </c>
    </row>
    <row r="313" spans="1:1" ht="13.5" customHeight="1" x14ac:dyDescent="0.25">
      <c r="A313" s="51" t="s">
        <v>399</v>
      </c>
    </row>
    <row r="314" spans="1:1" ht="13.5" customHeight="1" x14ac:dyDescent="0.25">
      <c r="A314" s="52" t="s">
        <v>403</v>
      </c>
    </row>
    <row r="315" spans="1:1" ht="13.5" customHeight="1" x14ac:dyDescent="0.25">
      <c r="A315" s="51" t="s">
        <v>404</v>
      </c>
    </row>
    <row r="316" spans="1:1" ht="13.5" customHeight="1" x14ac:dyDescent="0.25">
      <c r="A316" s="51" t="s">
        <v>393</v>
      </c>
    </row>
    <row r="317" spans="1:1" ht="13.5" customHeight="1" x14ac:dyDescent="0.25">
      <c r="A317" s="51" t="s">
        <v>405</v>
      </c>
    </row>
    <row r="318" spans="1:1" ht="13.5" customHeight="1" x14ac:dyDescent="0.25">
      <c r="A318" s="51" t="s">
        <v>395</v>
      </c>
    </row>
    <row r="319" spans="1:1" ht="13.5" customHeight="1" x14ac:dyDescent="0.25">
      <c r="A319" s="51" t="s">
        <v>396</v>
      </c>
    </row>
    <row r="320" spans="1:1" ht="13.5" customHeight="1" x14ac:dyDescent="0.25">
      <c r="A320" s="51" t="s">
        <v>397</v>
      </c>
    </row>
    <row r="321" spans="1:1" ht="13.5" customHeight="1" x14ac:dyDescent="0.25">
      <c r="A321" s="51" t="s">
        <v>406</v>
      </c>
    </row>
    <row r="322" spans="1:1" ht="13.5" customHeight="1" x14ac:dyDescent="0.25">
      <c r="A322" s="51" t="s">
        <v>399</v>
      </c>
    </row>
    <row r="323" spans="1:1" ht="13.5" customHeight="1" x14ac:dyDescent="0.25">
      <c r="A323" s="51" t="s">
        <v>233</v>
      </c>
    </row>
    <row r="324" spans="1:1" ht="13.5" customHeight="1" x14ac:dyDescent="0.25">
      <c r="A324" s="52" t="s">
        <v>290</v>
      </c>
    </row>
    <row r="325" spans="1:1" ht="13.5" customHeight="1" x14ac:dyDescent="0.25">
      <c r="A325" s="51"/>
    </row>
    <row r="326" spans="1:1" ht="13.5" customHeight="1" x14ac:dyDescent="0.25">
      <c r="A326" s="51" t="s">
        <v>407</v>
      </c>
    </row>
    <row r="327" spans="1:1" ht="13.5" customHeight="1" x14ac:dyDescent="0.25">
      <c r="A327" s="51" t="s">
        <v>408</v>
      </c>
    </row>
    <row r="328" spans="1:1" ht="13.5" customHeight="1" x14ac:dyDescent="0.25">
      <c r="A328" s="51" t="s">
        <v>409</v>
      </c>
    </row>
    <row r="329" spans="1:1" ht="13.5" customHeight="1" x14ac:dyDescent="0.25">
      <c r="A329" s="52" t="s">
        <v>410</v>
      </c>
    </row>
    <row r="330" spans="1:1" ht="13.5" customHeight="1" x14ac:dyDescent="0.25">
      <c r="A330" s="51" t="s">
        <v>200</v>
      </c>
    </row>
    <row r="331" spans="1:1" ht="13.5" customHeight="1" x14ac:dyDescent="0.25">
      <c r="A331" s="51" t="s">
        <v>411</v>
      </c>
    </row>
    <row r="332" spans="1:1" ht="13.5" customHeight="1" x14ac:dyDescent="0.25">
      <c r="A332" s="51" t="s">
        <v>202</v>
      </c>
    </row>
    <row r="333" spans="1:1" ht="13.5" customHeight="1" x14ac:dyDescent="0.25">
      <c r="A333" s="51" t="s">
        <v>412</v>
      </c>
    </row>
    <row r="334" spans="1:1" ht="13.5" customHeight="1" x14ac:dyDescent="0.25">
      <c r="A334" s="51" t="s">
        <v>413</v>
      </c>
    </row>
    <row r="335" spans="1:1" ht="13.5" customHeight="1" x14ac:dyDescent="0.25">
      <c r="A335" s="52"/>
    </row>
    <row r="336" spans="1:1" ht="13.5" customHeight="1" x14ac:dyDescent="0.25">
      <c r="A336" s="51" t="s">
        <v>414</v>
      </c>
    </row>
    <row r="337" spans="1:1" ht="13.5" customHeight="1" x14ac:dyDescent="0.25">
      <c r="A337" s="51" t="s">
        <v>415</v>
      </c>
    </row>
    <row r="338" spans="1:1" ht="13.5" customHeight="1" x14ac:dyDescent="0.25">
      <c r="A338" s="51" t="s">
        <v>416</v>
      </c>
    </row>
    <row r="339" spans="1:1" ht="13.5" customHeight="1" x14ac:dyDescent="0.25">
      <c r="A339" s="51" t="s">
        <v>417</v>
      </c>
    </row>
    <row r="340" spans="1:1" ht="13.5" customHeight="1" x14ac:dyDescent="0.25">
      <c r="A340" s="51"/>
    </row>
    <row r="341" spans="1:1" ht="13.5" customHeight="1" x14ac:dyDescent="0.25">
      <c r="A341" s="51" t="s">
        <v>418</v>
      </c>
    </row>
    <row r="342" spans="1:1" ht="13.5" customHeight="1" x14ac:dyDescent="0.25">
      <c r="A342" s="51" t="s">
        <v>419</v>
      </c>
    </row>
    <row r="343" spans="1:1" ht="13.5" customHeight="1" x14ac:dyDescent="0.25">
      <c r="A343" s="51" t="s">
        <v>420</v>
      </c>
    </row>
    <row r="344" spans="1:1" ht="13.5" customHeight="1" x14ac:dyDescent="0.25">
      <c r="A344" s="51" t="s">
        <v>421</v>
      </c>
    </row>
    <row r="345" spans="1:1" ht="13.5" customHeight="1" x14ac:dyDescent="0.25">
      <c r="A345" s="51" t="s">
        <v>422</v>
      </c>
    </row>
    <row r="346" spans="1:1" ht="13.5" customHeight="1" x14ac:dyDescent="0.25">
      <c r="A346" s="51"/>
    </row>
    <row r="347" spans="1:1" ht="13.5" customHeight="1" x14ac:dyDescent="0.25">
      <c r="A347" s="51" t="s">
        <v>423</v>
      </c>
    </row>
    <row r="348" spans="1:1" ht="13.5" customHeight="1" x14ac:dyDescent="0.25">
      <c r="A348" s="51" t="s">
        <v>424</v>
      </c>
    </row>
    <row r="349" spans="1:1" ht="13.5" customHeight="1" x14ac:dyDescent="0.25">
      <c r="A349" s="51" t="s">
        <v>425</v>
      </c>
    </row>
    <row r="350" spans="1:1" ht="13.5" customHeight="1" x14ac:dyDescent="0.25">
      <c r="A350" s="51" t="s">
        <v>426</v>
      </c>
    </row>
    <row r="351" spans="1:1" ht="13.5" customHeight="1" x14ac:dyDescent="0.25">
      <c r="A351" s="51" t="s">
        <v>427</v>
      </c>
    </row>
    <row r="352" spans="1:1" ht="13.5" customHeight="1" x14ac:dyDescent="0.25">
      <c r="A352" s="51" t="s">
        <v>428</v>
      </c>
    </row>
    <row r="353" spans="1:1" ht="13.5" customHeight="1" x14ac:dyDescent="0.25">
      <c r="A353" s="51" t="s">
        <v>429</v>
      </c>
    </row>
    <row r="354" spans="1:1" ht="13.5" customHeight="1" x14ac:dyDescent="0.25">
      <c r="A354" s="52" t="s">
        <v>430</v>
      </c>
    </row>
    <row r="355" spans="1:1" ht="13.5" customHeight="1" x14ac:dyDescent="0.25">
      <c r="A355" s="51" t="s">
        <v>195</v>
      </c>
    </row>
    <row r="356" spans="1:1" ht="13.5" customHeight="1" x14ac:dyDescent="0.25">
      <c r="A356" s="51"/>
    </row>
    <row r="357" spans="1:1" ht="13.5" customHeight="1" x14ac:dyDescent="0.25">
      <c r="A357" s="51" t="s">
        <v>431</v>
      </c>
    </row>
    <row r="358" spans="1:1" ht="13.5" customHeight="1" x14ac:dyDescent="0.25">
      <c r="A358" s="51" t="s">
        <v>432</v>
      </c>
    </row>
    <row r="359" spans="1:1" ht="13.5" customHeight="1" x14ac:dyDescent="0.25">
      <c r="A359" s="51" t="s">
        <v>433</v>
      </c>
    </row>
    <row r="360" spans="1:1" ht="13.5" customHeight="1" x14ac:dyDescent="0.25">
      <c r="A360" s="53" t="s">
        <v>434</v>
      </c>
    </row>
    <row r="361" spans="1:1" ht="13.5" customHeight="1" x14ac:dyDescent="0.25">
      <c r="A361" s="51" t="s">
        <v>435</v>
      </c>
    </row>
    <row r="362" spans="1:1" ht="13.5" customHeight="1" x14ac:dyDescent="0.25">
      <c r="A362" s="52" t="s">
        <v>436</v>
      </c>
    </row>
    <row r="363" spans="1:1" ht="13.5" customHeight="1" x14ac:dyDescent="0.25">
      <c r="A363" s="52" t="s">
        <v>430</v>
      </c>
    </row>
    <row r="364" spans="1:1" ht="13.5" customHeight="1" x14ac:dyDescent="0.25">
      <c r="A364" s="52" t="s">
        <v>195</v>
      </c>
    </row>
    <row r="365" spans="1:1" ht="13.5" customHeight="1" x14ac:dyDescent="0.25">
      <c r="A365" s="52"/>
    </row>
    <row r="366" spans="1:1" ht="13.5" customHeight="1" x14ac:dyDescent="0.25">
      <c r="A366" s="53" t="s">
        <v>437</v>
      </c>
    </row>
    <row r="367" spans="1:1" ht="13.5" customHeight="1" x14ac:dyDescent="0.25">
      <c r="A367" s="51" t="s">
        <v>438</v>
      </c>
    </row>
    <row r="368" spans="1:1" ht="13.5" customHeight="1" x14ac:dyDescent="0.25">
      <c r="A368" s="51"/>
    </row>
    <row r="369" spans="1:1" ht="13.5" customHeight="1" x14ac:dyDescent="0.25">
      <c r="A369" s="51" t="s">
        <v>196</v>
      </c>
    </row>
    <row r="370" spans="1:1" ht="13.5" customHeight="1" x14ac:dyDescent="0.25">
      <c r="A370" s="51" t="s">
        <v>439</v>
      </c>
    </row>
    <row r="371" spans="1:1" ht="13.5" customHeight="1" x14ac:dyDescent="0.25">
      <c r="A371" s="51" t="s">
        <v>440</v>
      </c>
    </row>
    <row r="372" spans="1:1" ht="13.5" customHeight="1" x14ac:dyDescent="0.25">
      <c r="A372" s="51" t="s">
        <v>203</v>
      </c>
    </row>
    <row r="373" spans="1:1" ht="13.5" customHeight="1" x14ac:dyDescent="0.25">
      <c r="A373" s="51"/>
    </row>
    <row r="374" spans="1:1" ht="13.5" customHeight="1" x14ac:dyDescent="0.25">
      <c r="A374" s="51" t="s">
        <v>176</v>
      </c>
    </row>
    <row r="375" spans="1:1" ht="13.5" customHeight="1" x14ac:dyDescent="0.25">
      <c r="A375" s="51" t="s">
        <v>441</v>
      </c>
    </row>
    <row r="376" spans="1:1" ht="13.5" customHeight="1" x14ac:dyDescent="0.25">
      <c r="A376" s="51" t="s">
        <v>442</v>
      </c>
    </row>
    <row r="377" spans="1:1" ht="13.5" customHeight="1" x14ac:dyDescent="0.25">
      <c r="A377" s="51" t="s">
        <v>176</v>
      </c>
    </row>
    <row r="378" spans="1:1" ht="13.5" customHeight="1" x14ac:dyDescent="0.25">
      <c r="A378" s="51" t="s">
        <v>443</v>
      </c>
    </row>
    <row r="379" spans="1:1" ht="13.5" customHeight="1" x14ac:dyDescent="0.25">
      <c r="A379" s="51" t="s">
        <v>444</v>
      </c>
    </row>
    <row r="380" spans="1:1" ht="13.5" customHeight="1" x14ac:dyDescent="0.25">
      <c r="A380" s="51" t="s">
        <v>349</v>
      </c>
    </row>
    <row r="381" spans="1:1" ht="13.5" customHeight="1" x14ac:dyDescent="0.25">
      <c r="A381" s="51" t="s">
        <v>445</v>
      </c>
    </row>
    <row r="382" spans="1:1" ht="13.5" customHeight="1" x14ac:dyDescent="0.25">
      <c r="A382" s="51" t="s">
        <v>446</v>
      </c>
    </row>
    <row r="383" spans="1:1" ht="13.5" customHeight="1" x14ac:dyDescent="0.25">
      <c r="A383" s="51" t="s">
        <v>447</v>
      </c>
    </row>
    <row r="384" spans="1:1" ht="13.5" customHeight="1" x14ac:dyDescent="0.25">
      <c r="A384" s="52" t="s">
        <v>212</v>
      </c>
    </row>
    <row r="385" spans="1:1" ht="13.5" customHeight="1" x14ac:dyDescent="0.25">
      <c r="A385" s="51" t="s">
        <v>180</v>
      </c>
    </row>
    <row r="386" spans="1:1" ht="13.5" customHeight="1" x14ac:dyDescent="0.25">
      <c r="A386" s="51" t="s">
        <v>213</v>
      </c>
    </row>
    <row r="387" spans="1:1" ht="13.5" customHeight="1" x14ac:dyDescent="0.25">
      <c r="A387" s="51" t="s">
        <v>448</v>
      </c>
    </row>
    <row r="388" spans="1:1" ht="13.5" customHeight="1" x14ac:dyDescent="0.25">
      <c r="A388" s="51" t="s">
        <v>449</v>
      </c>
    </row>
    <row r="389" spans="1:1" ht="13.5" customHeight="1" x14ac:dyDescent="0.25">
      <c r="A389" s="51" t="s">
        <v>450</v>
      </c>
    </row>
    <row r="390" spans="1:1" ht="13.5" customHeight="1" x14ac:dyDescent="0.25">
      <c r="A390" s="51" t="s">
        <v>451</v>
      </c>
    </row>
    <row r="391" spans="1:1" ht="13.5" customHeight="1" x14ac:dyDescent="0.25">
      <c r="A391" s="51" t="s">
        <v>452</v>
      </c>
    </row>
    <row r="392" spans="1:1" ht="13.5" customHeight="1" x14ac:dyDescent="0.25">
      <c r="A392" s="51" t="s">
        <v>453</v>
      </c>
    </row>
    <row r="393" spans="1:1" ht="13.5" customHeight="1" x14ac:dyDescent="0.25">
      <c r="A393" s="51" t="s">
        <v>454</v>
      </c>
    </row>
    <row r="394" spans="1:1" ht="13.5" customHeight="1" x14ac:dyDescent="0.25">
      <c r="A394" s="51" t="s">
        <v>455</v>
      </c>
    </row>
    <row r="395" spans="1:1" ht="13.5" customHeight="1" x14ac:dyDescent="0.25">
      <c r="A395" s="51" t="s">
        <v>290</v>
      </c>
    </row>
    <row r="396" spans="1:1" ht="13.5" customHeight="1" x14ac:dyDescent="0.25">
      <c r="A396" s="51" t="s">
        <v>456</v>
      </c>
    </row>
    <row r="397" spans="1:1" ht="13.5" customHeight="1" x14ac:dyDescent="0.25">
      <c r="A397" s="51" t="s">
        <v>457</v>
      </c>
    </row>
    <row r="398" spans="1:1" ht="13.5" customHeight="1" x14ac:dyDescent="0.25">
      <c r="A398" s="51" t="s">
        <v>458</v>
      </c>
    </row>
    <row r="399" spans="1:1" ht="13.5" customHeight="1" x14ac:dyDescent="0.25">
      <c r="A399" s="51" t="s">
        <v>459</v>
      </c>
    </row>
    <row r="400" spans="1:1" ht="13.5" customHeight="1" x14ac:dyDescent="0.25">
      <c r="A400" s="51" t="s">
        <v>460</v>
      </c>
    </row>
    <row r="401" spans="1:1" ht="13.5" customHeight="1" x14ac:dyDescent="0.25">
      <c r="A401" s="51" t="s">
        <v>368</v>
      </c>
    </row>
    <row r="402" spans="1:1" ht="13.5" customHeight="1" x14ac:dyDescent="0.25">
      <c r="A402" s="51" t="s">
        <v>461</v>
      </c>
    </row>
    <row r="403" spans="1:1" ht="13.5" customHeight="1" x14ac:dyDescent="0.25">
      <c r="A403" s="51" t="s">
        <v>462</v>
      </c>
    </row>
    <row r="404" spans="1:1" ht="13.5" customHeight="1" x14ac:dyDescent="0.25">
      <c r="A404" s="51" t="s">
        <v>463</v>
      </c>
    </row>
    <row r="405" spans="1:1" ht="13.5" customHeight="1" x14ac:dyDescent="0.25">
      <c r="A405" s="51" t="s">
        <v>464</v>
      </c>
    </row>
    <row r="406" spans="1:1" ht="13.5" customHeight="1" x14ac:dyDescent="0.25">
      <c r="A406" s="51" t="s">
        <v>465</v>
      </c>
    </row>
    <row r="407" spans="1:1" ht="13.5" customHeight="1" x14ac:dyDescent="0.25">
      <c r="A407" s="52" t="s">
        <v>466</v>
      </c>
    </row>
    <row r="408" spans="1:1" ht="13.5" customHeight="1" x14ac:dyDescent="0.25">
      <c r="A408" s="51" t="s">
        <v>467</v>
      </c>
    </row>
    <row r="409" spans="1:1" ht="13.5" customHeight="1" x14ac:dyDescent="0.25">
      <c r="A409" s="51" t="s">
        <v>468</v>
      </c>
    </row>
    <row r="410" spans="1:1" ht="13.5" customHeight="1" x14ac:dyDescent="0.25">
      <c r="A410" s="51" t="s">
        <v>469</v>
      </c>
    </row>
    <row r="411" spans="1:1" ht="13.5" customHeight="1" x14ac:dyDescent="0.25">
      <c r="A411" s="51" t="s">
        <v>470</v>
      </c>
    </row>
    <row r="412" spans="1:1" ht="13.5" customHeight="1" x14ac:dyDescent="0.25">
      <c r="A412" s="51" t="s">
        <v>471</v>
      </c>
    </row>
    <row r="413" spans="1:1" ht="13.5" customHeight="1" x14ac:dyDescent="0.25">
      <c r="A413" s="52" t="s">
        <v>472</v>
      </c>
    </row>
    <row r="414" spans="1:1" ht="13.5" customHeight="1" x14ac:dyDescent="0.25">
      <c r="A414" s="51" t="s">
        <v>473</v>
      </c>
    </row>
    <row r="415" spans="1:1" ht="13.5" customHeight="1" x14ac:dyDescent="0.25">
      <c r="A415" s="51" t="s">
        <v>474</v>
      </c>
    </row>
    <row r="416" spans="1:1" ht="13.5" customHeight="1" x14ac:dyDescent="0.25">
      <c r="A416" s="51" t="s">
        <v>475</v>
      </c>
    </row>
    <row r="417" spans="1:1" ht="13.5" customHeight="1" x14ac:dyDescent="0.25">
      <c r="A417" s="51" t="s">
        <v>476</v>
      </c>
    </row>
    <row r="418" spans="1:1" ht="13.5" customHeight="1" x14ac:dyDescent="0.25">
      <c r="A418" s="51" t="s">
        <v>477</v>
      </c>
    </row>
    <row r="419" spans="1:1" ht="13.5" customHeight="1" x14ac:dyDescent="0.25">
      <c r="A419" s="51" t="s">
        <v>478</v>
      </c>
    </row>
    <row r="420" spans="1:1" ht="13.5" customHeight="1" x14ac:dyDescent="0.25">
      <c r="A420" s="51" t="s">
        <v>479</v>
      </c>
    </row>
    <row r="421" spans="1:1" ht="13.5" customHeight="1" x14ac:dyDescent="0.25">
      <c r="A421" s="51" t="s">
        <v>480</v>
      </c>
    </row>
    <row r="422" spans="1:1" ht="13.5" customHeight="1" x14ac:dyDescent="0.25">
      <c r="A422" s="51" t="s">
        <v>481</v>
      </c>
    </row>
    <row r="423" spans="1:1" ht="13.5" customHeight="1" x14ac:dyDescent="0.25">
      <c r="A423" s="51" t="s">
        <v>482</v>
      </c>
    </row>
    <row r="424" spans="1:1" ht="13.5" customHeight="1" x14ac:dyDescent="0.25">
      <c r="A424" s="51" t="s">
        <v>399</v>
      </c>
    </row>
    <row r="425" spans="1:1" ht="13.5" customHeight="1" x14ac:dyDescent="0.25">
      <c r="A425" s="51" t="s">
        <v>483</v>
      </c>
    </row>
    <row r="426" spans="1:1" ht="13.5" customHeight="1" x14ac:dyDescent="0.25">
      <c r="A426" s="51" t="s">
        <v>484</v>
      </c>
    </row>
    <row r="427" spans="1:1" ht="13.5" customHeight="1" x14ac:dyDescent="0.25">
      <c r="A427" s="51" t="s">
        <v>485</v>
      </c>
    </row>
    <row r="428" spans="1:1" ht="13.5" customHeight="1" x14ac:dyDescent="0.25">
      <c r="A428" s="51" t="s">
        <v>486</v>
      </c>
    </row>
    <row r="429" spans="1:1" ht="13.5" customHeight="1" x14ac:dyDescent="0.25">
      <c r="A429" s="52" t="s">
        <v>487</v>
      </c>
    </row>
    <row r="430" spans="1:1" ht="13.5" customHeight="1" x14ac:dyDescent="0.25">
      <c r="A430" s="51" t="s">
        <v>488</v>
      </c>
    </row>
    <row r="431" spans="1:1" ht="13.5" customHeight="1" x14ac:dyDescent="0.25">
      <c r="A431" s="51" t="s">
        <v>489</v>
      </c>
    </row>
    <row r="432" spans="1:1" ht="13.5" customHeight="1" x14ac:dyDescent="0.25">
      <c r="A432" s="51" t="s">
        <v>385</v>
      </c>
    </row>
    <row r="433" spans="1:1" ht="13.5" customHeight="1" x14ac:dyDescent="0.25">
      <c r="A433" s="51" t="s">
        <v>485</v>
      </c>
    </row>
    <row r="434" spans="1:1" ht="13.5" customHeight="1" x14ac:dyDescent="0.25">
      <c r="A434" s="51" t="s">
        <v>486</v>
      </c>
    </row>
    <row r="435" spans="1:1" ht="13.5" customHeight="1" x14ac:dyDescent="0.25">
      <c r="A435" s="51" t="s">
        <v>490</v>
      </c>
    </row>
    <row r="436" spans="1:1" ht="13.5" customHeight="1" x14ac:dyDescent="0.25">
      <c r="A436" s="51" t="s">
        <v>491</v>
      </c>
    </row>
    <row r="437" spans="1:1" ht="13.5" customHeight="1" x14ac:dyDescent="0.25">
      <c r="A437" s="51" t="s">
        <v>489</v>
      </c>
    </row>
    <row r="438" spans="1:1" ht="13.5" customHeight="1" x14ac:dyDescent="0.25">
      <c r="A438" s="51" t="s">
        <v>227</v>
      </c>
    </row>
    <row r="439" spans="1:1" ht="13.5" customHeight="1" x14ac:dyDescent="0.25">
      <c r="A439" s="51" t="s">
        <v>233</v>
      </c>
    </row>
    <row r="440" spans="1:1" ht="13.5" customHeight="1" x14ac:dyDescent="0.25">
      <c r="A440" s="51" t="s">
        <v>290</v>
      </c>
    </row>
    <row r="441" spans="1:1" ht="13.5" customHeight="1" x14ac:dyDescent="0.25">
      <c r="A441" s="51" t="s">
        <v>492</v>
      </c>
    </row>
    <row r="442" spans="1:1" ht="13.5" customHeight="1" x14ac:dyDescent="0.25">
      <c r="A442" s="51" t="s">
        <v>493</v>
      </c>
    </row>
    <row r="443" spans="1:1" ht="13.5" customHeight="1" x14ac:dyDescent="0.25">
      <c r="A443" s="51" t="s">
        <v>494</v>
      </c>
    </row>
    <row r="444" spans="1:1" ht="13.5" customHeight="1" x14ac:dyDescent="0.25">
      <c r="A444" s="51" t="s">
        <v>459</v>
      </c>
    </row>
    <row r="445" spans="1:1" ht="13.5" customHeight="1" x14ac:dyDescent="0.25">
      <c r="A445" s="51" t="s">
        <v>460</v>
      </c>
    </row>
    <row r="446" spans="1:1" ht="13.5" customHeight="1" x14ac:dyDescent="0.25">
      <c r="A446" s="51" t="s">
        <v>368</v>
      </c>
    </row>
    <row r="447" spans="1:1" ht="13.5" customHeight="1" x14ac:dyDescent="0.25">
      <c r="A447" s="51" t="s">
        <v>495</v>
      </c>
    </row>
    <row r="448" spans="1:1" ht="13.5" customHeight="1" x14ac:dyDescent="0.25">
      <c r="A448" s="51" t="s">
        <v>496</v>
      </c>
    </row>
    <row r="449" spans="1:1" ht="13.5" customHeight="1" x14ac:dyDescent="0.25">
      <c r="A449" s="51" t="s">
        <v>497</v>
      </c>
    </row>
    <row r="450" spans="1:1" ht="13.5" customHeight="1" x14ac:dyDescent="0.25">
      <c r="A450" s="51" t="s">
        <v>498</v>
      </c>
    </row>
    <row r="451" spans="1:1" ht="13.5" customHeight="1" x14ac:dyDescent="0.25">
      <c r="A451" s="51" t="s">
        <v>499</v>
      </c>
    </row>
    <row r="452" spans="1:1" ht="13.5" customHeight="1" x14ac:dyDescent="0.25">
      <c r="A452" s="51" t="s">
        <v>500</v>
      </c>
    </row>
    <row r="453" spans="1:1" ht="13.5" customHeight="1" x14ac:dyDescent="0.25">
      <c r="A453" s="51" t="s">
        <v>501</v>
      </c>
    </row>
    <row r="454" spans="1:1" ht="13.5" customHeight="1" x14ac:dyDescent="0.25">
      <c r="A454" s="51" t="s">
        <v>502</v>
      </c>
    </row>
    <row r="455" spans="1:1" ht="13.5" customHeight="1" x14ac:dyDescent="0.25">
      <c r="A455" s="51" t="s">
        <v>503</v>
      </c>
    </row>
    <row r="456" spans="1:1" ht="13.5" customHeight="1" x14ac:dyDescent="0.25">
      <c r="A456" s="51" t="s">
        <v>504</v>
      </c>
    </row>
    <row r="457" spans="1:1" ht="13.5" customHeight="1" x14ac:dyDescent="0.25">
      <c r="A457" s="51" t="s">
        <v>505</v>
      </c>
    </row>
    <row r="458" spans="1:1" ht="13.5" customHeight="1" x14ac:dyDescent="0.25">
      <c r="A458" s="52" t="s">
        <v>506</v>
      </c>
    </row>
    <row r="459" spans="1:1" ht="13.5" customHeight="1" x14ac:dyDescent="0.25">
      <c r="A459" s="51" t="s">
        <v>507</v>
      </c>
    </row>
    <row r="460" spans="1:1" ht="13.5" customHeight="1" x14ac:dyDescent="0.25">
      <c r="A460" s="51" t="s">
        <v>508</v>
      </c>
    </row>
    <row r="461" spans="1:1" ht="13.5" customHeight="1" x14ac:dyDescent="0.25">
      <c r="A461" s="51" t="s">
        <v>509</v>
      </c>
    </row>
    <row r="462" spans="1:1" ht="13.5" customHeight="1" x14ac:dyDescent="0.25">
      <c r="A462" s="51" t="s">
        <v>510</v>
      </c>
    </row>
    <row r="463" spans="1:1" ht="13.5" customHeight="1" x14ac:dyDescent="0.25">
      <c r="A463" s="51" t="s">
        <v>511</v>
      </c>
    </row>
    <row r="464" spans="1:1" ht="13.5" customHeight="1" x14ac:dyDescent="0.25">
      <c r="A464" s="51" t="s">
        <v>512</v>
      </c>
    </row>
    <row r="465" spans="1:1" ht="13.5" customHeight="1" x14ac:dyDescent="0.25">
      <c r="A465" s="51" t="s">
        <v>513</v>
      </c>
    </row>
    <row r="466" spans="1:1" ht="13.5" customHeight="1" x14ac:dyDescent="0.25">
      <c r="A466" s="51" t="s">
        <v>226</v>
      </c>
    </row>
    <row r="467" spans="1:1" ht="13.5" customHeight="1" x14ac:dyDescent="0.25">
      <c r="A467" s="51" t="s">
        <v>227</v>
      </c>
    </row>
    <row r="468" spans="1:1" ht="13.5" customHeight="1" x14ac:dyDescent="0.25">
      <c r="A468" s="51" t="s">
        <v>233</v>
      </c>
    </row>
    <row r="469" spans="1:1" ht="13.5" customHeight="1" x14ac:dyDescent="0.25">
      <c r="A469" s="51" t="s">
        <v>290</v>
      </c>
    </row>
    <row r="470" spans="1:1" ht="13.5" customHeight="1" x14ac:dyDescent="0.25">
      <c r="A470" s="51" t="s">
        <v>514</v>
      </c>
    </row>
    <row r="471" spans="1:1" ht="13.5" customHeight="1" x14ac:dyDescent="0.25">
      <c r="A471" s="51" t="s">
        <v>515</v>
      </c>
    </row>
    <row r="472" spans="1:1" ht="13.5" customHeight="1" x14ac:dyDescent="0.25">
      <c r="A472" s="51" t="s">
        <v>516</v>
      </c>
    </row>
    <row r="473" spans="1:1" ht="13.5" customHeight="1" x14ac:dyDescent="0.25">
      <c r="A473" s="51" t="s">
        <v>459</v>
      </c>
    </row>
    <row r="474" spans="1:1" ht="13.5" customHeight="1" x14ac:dyDescent="0.25">
      <c r="A474" s="51" t="s">
        <v>460</v>
      </c>
    </row>
    <row r="475" spans="1:1" ht="13.5" customHeight="1" x14ac:dyDescent="0.25">
      <c r="A475" s="51" t="s">
        <v>368</v>
      </c>
    </row>
    <row r="476" spans="1:1" ht="13.5" customHeight="1" x14ac:dyDescent="0.25">
      <c r="A476" s="51" t="s">
        <v>369</v>
      </c>
    </row>
    <row r="477" spans="1:1" ht="13.5" customHeight="1" x14ac:dyDescent="0.25">
      <c r="A477" s="51" t="s">
        <v>462</v>
      </c>
    </row>
    <row r="478" spans="1:1" ht="13.5" customHeight="1" x14ac:dyDescent="0.25">
      <c r="A478" s="51" t="s">
        <v>517</v>
      </c>
    </row>
    <row r="479" spans="1:1" ht="13.5" customHeight="1" x14ac:dyDescent="0.25">
      <c r="A479" s="51" t="s">
        <v>518</v>
      </c>
    </row>
    <row r="480" spans="1:1" ht="13.5" customHeight="1" x14ac:dyDescent="0.25">
      <c r="A480" s="51" t="s">
        <v>465</v>
      </c>
    </row>
    <row r="481" spans="1:1" ht="13.5" customHeight="1" x14ac:dyDescent="0.25">
      <c r="A481" s="51" t="s">
        <v>466</v>
      </c>
    </row>
    <row r="482" spans="1:1" ht="13.5" customHeight="1" x14ac:dyDescent="0.25">
      <c r="A482" s="51" t="s">
        <v>467</v>
      </c>
    </row>
    <row r="483" spans="1:1" ht="13.5" customHeight="1" x14ac:dyDescent="0.25">
      <c r="A483" s="51" t="s">
        <v>468</v>
      </c>
    </row>
    <row r="484" spans="1:1" ht="13.5" customHeight="1" x14ac:dyDescent="0.25">
      <c r="A484" s="51" t="s">
        <v>469</v>
      </c>
    </row>
    <row r="485" spans="1:1" ht="13.5" customHeight="1" x14ac:dyDescent="0.25">
      <c r="A485" s="51" t="s">
        <v>470</v>
      </c>
    </row>
    <row r="486" spans="1:1" ht="13.5" customHeight="1" x14ac:dyDescent="0.25">
      <c r="A486" s="51" t="s">
        <v>519</v>
      </c>
    </row>
    <row r="487" spans="1:1" ht="13.5" customHeight="1" x14ac:dyDescent="0.25">
      <c r="A487" s="51" t="s">
        <v>520</v>
      </c>
    </row>
    <row r="488" spans="1:1" ht="13.5" customHeight="1" x14ac:dyDescent="0.25">
      <c r="A488" s="51" t="s">
        <v>227</v>
      </c>
    </row>
    <row r="489" spans="1:1" ht="13.5" customHeight="1" x14ac:dyDescent="0.25">
      <c r="A489" s="53" t="s">
        <v>521</v>
      </c>
    </row>
    <row r="490" spans="1:1" ht="13.5" customHeight="1" x14ac:dyDescent="0.25">
      <c r="A490" s="52" t="s">
        <v>522</v>
      </c>
    </row>
    <row r="491" spans="1:1" ht="13.5" customHeight="1" x14ac:dyDescent="0.25">
      <c r="A491" s="52" t="s">
        <v>227</v>
      </c>
    </row>
    <row r="492" spans="1:1" ht="13.5" customHeight="1" x14ac:dyDescent="0.25">
      <c r="A492" s="51" t="s">
        <v>523</v>
      </c>
    </row>
    <row r="493" spans="1:1" ht="13.5" customHeight="1" x14ac:dyDescent="0.25">
      <c r="A493" s="51" t="s">
        <v>524</v>
      </c>
    </row>
    <row r="494" spans="1:1" ht="13.5" customHeight="1" x14ac:dyDescent="0.25">
      <c r="A494" s="51" t="s">
        <v>227</v>
      </c>
    </row>
    <row r="495" spans="1:1" ht="13.5" customHeight="1" x14ac:dyDescent="0.25">
      <c r="A495" s="52" t="s">
        <v>525</v>
      </c>
    </row>
    <row r="496" spans="1:1" ht="13.5" customHeight="1" x14ac:dyDescent="0.25">
      <c r="A496" s="53" t="s">
        <v>526</v>
      </c>
    </row>
    <row r="497" spans="1:1" ht="13.5" customHeight="1" x14ac:dyDescent="0.25">
      <c r="A497" s="51" t="s">
        <v>477</v>
      </c>
    </row>
    <row r="498" spans="1:1" ht="13.5" customHeight="1" x14ac:dyDescent="0.25">
      <c r="A498" s="51" t="s">
        <v>527</v>
      </c>
    </row>
    <row r="499" spans="1:1" ht="13.5" customHeight="1" x14ac:dyDescent="0.25">
      <c r="A499" s="52" t="s">
        <v>233</v>
      </c>
    </row>
    <row r="500" spans="1:1" ht="13.5" customHeight="1" x14ac:dyDescent="0.25">
      <c r="A500" s="51" t="s">
        <v>290</v>
      </c>
    </row>
    <row r="501" spans="1:1" ht="13.5" customHeight="1" x14ac:dyDescent="0.25">
      <c r="A501" s="51"/>
    </row>
    <row r="502" spans="1:1" ht="13.5" customHeight="1" x14ac:dyDescent="0.25">
      <c r="A502" s="51" t="s">
        <v>528</v>
      </c>
    </row>
    <row r="503" spans="1:1" ht="13.5" customHeight="1" x14ac:dyDescent="0.25">
      <c r="A503" s="51" t="s">
        <v>529</v>
      </c>
    </row>
    <row r="504" spans="1:1" ht="13.5" customHeight="1" x14ac:dyDescent="0.25">
      <c r="A504" s="51" t="s">
        <v>203</v>
      </c>
    </row>
    <row r="505" spans="1:1" ht="13.5" customHeight="1" x14ac:dyDescent="0.25">
      <c r="A505" s="51" t="s">
        <v>176</v>
      </c>
    </row>
    <row r="506" spans="1:1" ht="13.5" customHeight="1" x14ac:dyDescent="0.25">
      <c r="A506" s="51" t="s">
        <v>530</v>
      </c>
    </row>
    <row r="507" spans="1:1" ht="13.5" customHeight="1" x14ac:dyDescent="0.25">
      <c r="A507" s="51" t="s">
        <v>176</v>
      </c>
    </row>
    <row r="508" spans="1:1" ht="13.5" customHeight="1" x14ac:dyDescent="0.25">
      <c r="A508" s="51" t="s">
        <v>531</v>
      </c>
    </row>
    <row r="509" spans="1:1" ht="13.5" customHeight="1" x14ac:dyDescent="0.25">
      <c r="A509" s="51" t="s">
        <v>532</v>
      </c>
    </row>
    <row r="510" spans="1:1" ht="13.5" customHeight="1" x14ac:dyDescent="0.25">
      <c r="A510" s="51" t="s">
        <v>354</v>
      </c>
    </row>
    <row r="511" spans="1:1" ht="13.5" customHeight="1" x14ac:dyDescent="0.25">
      <c r="A511" s="51" t="s">
        <v>533</v>
      </c>
    </row>
    <row r="512" spans="1:1" ht="13.5" customHeight="1" x14ac:dyDescent="0.25">
      <c r="A512" s="51" t="s">
        <v>534</v>
      </c>
    </row>
    <row r="513" spans="1:1" ht="13.5" customHeight="1" x14ac:dyDescent="0.25">
      <c r="A513" s="51" t="s">
        <v>183</v>
      </c>
    </row>
    <row r="514" spans="1:1" ht="13.5" customHeight="1" x14ac:dyDescent="0.25">
      <c r="A514" s="51" t="s">
        <v>535</v>
      </c>
    </row>
    <row r="515" spans="1:1" ht="13.5" customHeight="1" x14ac:dyDescent="0.25">
      <c r="A515" s="51" t="s">
        <v>185</v>
      </c>
    </row>
    <row r="516" spans="1:1" ht="13.5" customHeight="1" x14ac:dyDescent="0.25">
      <c r="A516" s="51" t="s">
        <v>536</v>
      </c>
    </row>
    <row r="517" spans="1:1" ht="13.5" customHeight="1" x14ac:dyDescent="0.25">
      <c r="A517" s="51" t="s">
        <v>187</v>
      </c>
    </row>
    <row r="518" spans="1:1" ht="13.5" customHeight="1" x14ac:dyDescent="0.25">
      <c r="A518" s="51" t="s">
        <v>537</v>
      </c>
    </row>
    <row r="519" spans="1:1" ht="13.5" customHeight="1" x14ac:dyDescent="0.25">
      <c r="A519" s="51" t="s">
        <v>538</v>
      </c>
    </row>
    <row r="520" spans="1:1" ht="13.5" customHeight="1" x14ac:dyDescent="0.25">
      <c r="A520" s="51" t="s">
        <v>539</v>
      </c>
    </row>
    <row r="521" spans="1:1" ht="13.5" customHeight="1" x14ac:dyDescent="0.25">
      <c r="A521" s="51" t="s">
        <v>540</v>
      </c>
    </row>
    <row r="522" spans="1:1" ht="13.5" customHeight="1" x14ac:dyDescent="0.25">
      <c r="A522" s="53" t="s">
        <v>192</v>
      </c>
    </row>
    <row r="523" spans="1:1" ht="13.5" customHeight="1" x14ac:dyDescent="0.25">
      <c r="A523" s="52" t="s">
        <v>541</v>
      </c>
    </row>
    <row r="524" spans="1:1" ht="13.5" customHeight="1" x14ac:dyDescent="0.25">
      <c r="A524" s="52" t="s">
        <v>193</v>
      </c>
    </row>
    <row r="525" spans="1:1" ht="13.5" customHeight="1" x14ac:dyDescent="0.25">
      <c r="A525" s="52" t="s">
        <v>194</v>
      </c>
    </row>
    <row r="526" spans="1:1" ht="13.5" customHeight="1" x14ac:dyDescent="0.25">
      <c r="A526" s="52" t="s">
        <v>195</v>
      </c>
    </row>
    <row r="527" spans="1:1" ht="13.5" customHeight="1" x14ac:dyDescent="0.25">
      <c r="A527" s="52" t="s">
        <v>196</v>
      </c>
    </row>
    <row r="528" spans="1:1" ht="13.5" customHeight="1" x14ac:dyDescent="0.25">
      <c r="A528" s="52" t="s">
        <v>542</v>
      </c>
    </row>
    <row r="529" spans="1:1" ht="13.5" customHeight="1" x14ac:dyDescent="0.25">
      <c r="A529" s="52" t="s">
        <v>198</v>
      </c>
    </row>
    <row r="530" spans="1:1" ht="13.5" customHeight="1" x14ac:dyDescent="0.25">
      <c r="A530" s="52" t="s">
        <v>543</v>
      </c>
    </row>
    <row r="531" spans="1:1" ht="13.5" customHeight="1" x14ac:dyDescent="0.25">
      <c r="A531" s="52" t="s">
        <v>200</v>
      </c>
    </row>
    <row r="532" spans="1:1" ht="13.5" customHeight="1" x14ac:dyDescent="0.25">
      <c r="A532" s="52" t="s">
        <v>544</v>
      </c>
    </row>
    <row r="533" spans="1:1" ht="13.5" customHeight="1" x14ac:dyDescent="0.25">
      <c r="A533" s="52" t="s">
        <v>202</v>
      </c>
    </row>
    <row r="534" spans="1:1" ht="13.5" customHeight="1" x14ac:dyDescent="0.25">
      <c r="A534" s="52" t="s">
        <v>203</v>
      </c>
    </row>
    <row r="535" spans="1:1" ht="13.5" customHeight="1" x14ac:dyDescent="0.25">
      <c r="A535" s="52" t="s">
        <v>176</v>
      </c>
    </row>
    <row r="536" spans="1:1" ht="13.5" customHeight="1" x14ac:dyDescent="0.25">
      <c r="A536" s="52" t="s">
        <v>545</v>
      </c>
    </row>
    <row r="537" spans="1:1" ht="13.5" customHeight="1" x14ac:dyDescent="0.25">
      <c r="A537" s="52" t="s">
        <v>176</v>
      </c>
    </row>
    <row r="538" spans="1:1" ht="13.5" customHeight="1" x14ac:dyDescent="0.25">
      <c r="A538" s="52" t="s">
        <v>546</v>
      </c>
    </row>
    <row r="539" spans="1:1" ht="13.5" customHeight="1" x14ac:dyDescent="0.25">
      <c r="A539" s="52" t="s">
        <v>547</v>
      </c>
    </row>
    <row r="540" spans="1:1" ht="13.5" customHeight="1" x14ac:dyDescent="0.25">
      <c r="A540" s="52" t="s">
        <v>548</v>
      </c>
    </row>
    <row r="541" spans="1:1" ht="13.5" customHeight="1" x14ac:dyDescent="0.25">
      <c r="A541" s="52" t="s">
        <v>549</v>
      </c>
    </row>
    <row r="542" spans="1:1" ht="13.5" customHeight="1" x14ac:dyDescent="0.25">
      <c r="A542" s="52" t="s">
        <v>550</v>
      </c>
    </row>
    <row r="543" spans="1:1" ht="13.5" customHeight="1" x14ac:dyDescent="0.25">
      <c r="A543" s="52" t="s">
        <v>176</v>
      </c>
    </row>
    <row r="544" spans="1:1" ht="13.5" customHeight="1" x14ac:dyDescent="0.25">
      <c r="A544" s="52" t="s">
        <v>551</v>
      </c>
    </row>
    <row r="545" spans="1:1" ht="13.5" customHeight="1" x14ac:dyDescent="0.25">
      <c r="A545" s="52" t="s">
        <v>552</v>
      </c>
    </row>
    <row r="546" spans="1:1" ht="13.5" customHeight="1" x14ac:dyDescent="0.25">
      <c r="A546" s="52" t="s">
        <v>553</v>
      </c>
    </row>
    <row r="547" spans="1:1" ht="13.5" customHeight="1" x14ac:dyDescent="0.25">
      <c r="A547" s="52" t="s">
        <v>554</v>
      </c>
    </row>
    <row r="548" spans="1:1" ht="13.5" customHeight="1" x14ac:dyDescent="0.25">
      <c r="A548" s="52" t="s">
        <v>555</v>
      </c>
    </row>
    <row r="549" spans="1:1" ht="13.5" customHeight="1" x14ac:dyDescent="0.25">
      <c r="A549" s="52" t="s">
        <v>556</v>
      </c>
    </row>
    <row r="550" spans="1:1" ht="13.5" customHeight="1" x14ac:dyDescent="0.25">
      <c r="A550" s="52" t="s">
        <v>176</v>
      </c>
    </row>
    <row r="551" spans="1:1" ht="13.5" customHeight="1" x14ac:dyDescent="0.25">
      <c r="A551" s="52" t="s">
        <v>557</v>
      </c>
    </row>
    <row r="552" spans="1:1" ht="13.5" customHeight="1" x14ac:dyDescent="0.25">
      <c r="A552" s="52" t="s">
        <v>558</v>
      </c>
    </row>
    <row r="553" spans="1:1" ht="13.5" customHeight="1" x14ac:dyDescent="0.25">
      <c r="A553" s="52" t="s">
        <v>559</v>
      </c>
    </row>
    <row r="554" spans="1:1" ht="13.5" customHeight="1" x14ac:dyDescent="0.25">
      <c r="A554" s="52" t="s">
        <v>560</v>
      </c>
    </row>
    <row r="555" spans="1:1" ht="13.5" customHeight="1" x14ac:dyDescent="0.25">
      <c r="A555" s="52" t="s">
        <v>561</v>
      </c>
    </row>
    <row r="556" spans="1:1" ht="13.5" customHeight="1" x14ac:dyDescent="0.25">
      <c r="A556" s="52" t="s">
        <v>562</v>
      </c>
    </row>
    <row r="557" spans="1:1" ht="13.5" customHeight="1" x14ac:dyDescent="0.25">
      <c r="A557" s="51" t="s">
        <v>563</v>
      </c>
    </row>
    <row r="558" spans="1:1" ht="13.5" customHeight="1" x14ac:dyDescent="0.25">
      <c r="A558" s="52" t="s">
        <v>564</v>
      </c>
    </row>
    <row r="559" spans="1:1" ht="13.5" customHeight="1" x14ac:dyDescent="0.25">
      <c r="A559" s="51" t="s">
        <v>565</v>
      </c>
    </row>
    <row r="560" spans="1:1" ht="13.5" customHeight="1" x14ac:dyDescent="0.25">
      <c r="A560" s="52" t="s">
        <v>566</v>
      </c>
    </row>
    <row r="561" spans="1:1" ht="13.5" customHeight="1" x14ac:dyDescent="0.25">
      <c r="A561" s="52" t="s">
        <v>567</v>
      </c>
    </row>
    <row r="562" spans="1:1" ht="13.5" customHeight="1" x14ac:dyDescent="0.25">
      <c r="A562" s="52" t="s">
        <v>568</v>
      </c>
    </row>
    <row r="563" spans="1:1" ht="13.5" customHeight="1" x14ac:dyDescent="0.25">
      <c r="A563" s="52" t="s">
        <v>569</v>
      </c>
    </row>
    <row r="564" spans="1:1" ht="13.5" customHeight="1" x14ac:dyDescent="0.25">
      <c r="A564" s="52" t="s">
        <v>570</v>
      </c>
    </row>
    <row r="565" spans="1:1" ht="13.5" customHeight="1" x14ac:dyDescent="0.25">
      <c r="A565" s="52" t="s">
        <v>571</v>
      </c>
    </row>
    <row r="566" spans="1:1" ht="13.5" customHeight="1" x14ac:dyDescent="0.25">
      <c r="A566" s="52" t="s">
        <v>572</v>
      </c>
    </row>
    <row r="567" spans="1:1" ht="13.5" customHeight="1" x14ac:dyDescent="0.25">
      <c r="A567" s="52" t="s">
        <v>573</v>
      </c>
    </row>
    <row r="568" spans="1:1" ht="13.5" customHeight="1" x14ac:dyDescent="0.25">
      <c r="A568" s="52" t="s">
        <v>550</v>
      </c>
    </row>
    <row r="569" spans="1:1" ht="13.5" customHeight="1" x14ac:dyDescent="0.25">
      <c r="A569" s="52"/>
    </row>
    <row r="570" spans="1:1" ht="13.5" customHeight="1" x14ac:dyDescent="0.25">
      <c r="A570" s="52"/>
    </row>
    <row r="571" spans="1:1" ht="13.5" customHeight="1" x14ac:dyDescent="0.25">
      <c r="A571" s="52"/>
    </row>
    <row r="572" spans="1:1" ht="13.5" customHeight="1" x14ac:dyDescent="0.25">
      <c r="A572" s="52"/>
    </row>
    <row r="573" spans="1:1" ht="13.5" customHeight="1" x14ac:dyDescent="0.25">
      <c r="A573" s="52"/>
    </row>
    <row r="574" spans="1:1" ht="13.5" customHeight="1" x14ac:dyDescent="0.25">
      <c r="A574" s="52"/>
    </row>
    <row r="575" spans="1:1" ht="13.5" customHeight="1" x14ac:dyDescent="0.25">
      <c r="A575" s="52"/>
    </row>
    <row r="576" spans="1:1" ht="13.5" customHeight="1" x14ac:dyDescent="0.25">
      <c r="A576" s="52"/>
    </row>
    <row r="577" spans="1:1" ht="13.5" customHeight="1" x14ac:dyDescent="0.25">
      <c r="A577" s="52"/>
    </row>
    <row r="578" spans="1:1" ht="13.5" customHeight="1" x14ac:dyDescent="0.25">
      <c r="A578" s="52"/>
    </row>
    <row r="579" spans="1:1" ht="13.5" customHeight="1" x14ac:dyDescent="0.25">
      <c r="A579" s="52"/>
    </row>
    <row r="580" spans="1:1" ht="13.5" customHeight="1" x14ac:dyDescent="0.25">
      <c r="A580" s="52"/>
    </row>
    <row r="581" spans="1:1" ht="13.5" customHeight="1" x14ac:dyDescent="0.25">
      <c r="A581" s="52"/>
    </row>
    <row r="582" spans="1:1" ht="13.5" customHeight="1" x14ac:dyDescent="0.25">
      <c r="A582" s="52"/>
    </row>
    <row r="583" spans="1:1" ht="13.5" customHeight="1" x14ac:dyDescent="0.25">
      <c r="A583" s="52"/>
    </row>
    <row r="584" spans="1:1" ht="13.5" customHeight="1" x14ac:dyDescent="0.25">
      <c r="A584" s="52"/>
    </row>
    <row r="585" spans="1:1" ht="13.5" customHeight="1" x14ac:dyDescent="0.25">
      <c r="A585" s="52"/>
    </row>
    <row r="586" spans="1:1" ht="13.5" customHeight="1" x14ac:dyDescent="0.25">
      <c r="A586" s="52"/>
    </row>
    <row r="587" spans="1:1" ht="13.5" customHeight="1" x14ac:dyDescent="0.25">
      <c r="A587" s="52"/>
    </row>
    <row r="588" spans="1:1" ht="13.5" customHeight="1" x14ac:dyDescent="0.25">
      <c r="A588" s="52"/>
    </row>
    <row r="589" spans="1:1" ht="13.5" customHeight="1" x14ac:dyDescent="0.25">
      <c r="A589" s="52"/>
    </row>
    <row r="590" spans="1:1" ht="13.5" customHeight="1" x14ac:dyDescent="0.25">
      <c r="A590" s="52"/>
    </row>
    <row r="591" spans="1:1" ht="13.5" customHeight="1" x14ac:dyDescent="0.25">
      <c r="A591" s="52"/>
    </row>
    <row r="592" spans="1:1" ht="13.5" customHeight="1" x14ac:dyDescent="0.25">
      <c r="A592" s="52"/>
    </row>
    <row r="593" spans="1:1" ht="13.5" customHeight="1" x14ac:dyDescent="0.25">
      <c r="A593" s="52"/>
    </row>
    <row r="594" spans="1:1" ht="13.5" customHeight="1" x14ac:dyDescent="0.25">
      <c r="A594" s="52"/>
    </row>
    <row r="595" spans="1:1" ht="13.5" customHeight="1" x14ac:dyDescent="0.25">
      <c r="A595" s="52"/>
    </row>
    <row r="596" spans="1:1" ht="13.5" customHeight="1" x14ac:dyDescent="0.25">
      <c r="A596" s="52"/>
    </row>
    <row r="597" spans="1:1" ht="13.5" customHeight="1" x14ac:dyDescent="0.25">
      <c r="A597" s="51"/>
    </row>
    <row r="598" spans="1:1" ht="13.5" customHeight="1" x14ac:dyDescent="0.25">
      <c r="A598" s="51"/>
    </row>
    <row r="599" spans="1:1" ht="13.5" customHeight="1" x14ac:dyDescent="0.25">
      <c r="A599" s="51"/>
    </row>
    <row r="600" spans="1:1" ht="13.5" customHeight="1" x14ac:dyDescent="0.25">
      <c r="A600" s="51"/>
    </row>
    <row r="601" spans="1:1" ht="13.5" customHeight="1" x14ac:dyDescent="0.25">
      <c r="A601" s="51"/>
    </row>
    <row r="602" spans="1:1" ht="13.5" customHeight="1" x14ac:dyDescent="0.25">
      <c r="A602" s="51"/>
    </row>
    <row r="603" spans="1:1" ht="13.5" customHeight="1" x14ac:dyDescent="0.25">
      <c r="A603" s="51"/>
    </row>
    <row r="604" spans="1:1" ht="13.5" customHeight="1" x14ac:dyDescent="0.25">
      <c r="A604" s="51"/>
    </row>
    <row r="605" spans="1:1" ht="13.5" customHeight="1" x14ac:dyDescent="0.25">
      <c r="A605" s="51"/>
    </row>
    <row r="606" spans="1:1" ht="13.5" customHeight="1" x14ac:dyDescent="0.25">
      <c r="A606" s="51"/>
    </row>
    <row r="607" spans="1:1" ht="13.5" customHeight="1" x14ac:dyDescent="0.25">
      <c r="A607" s="51"/>
    </row>
    <row r="608" spans="1:1" ht="13.5" customHeight="1" x14ac:dyDescent="0.25">
      <c r="A608" s="51"/>
    </row>
    <row r="609" spans="1:1" ht="13.5" customHeight="1" x14ac:dyDescent="0.25">
      <c r="A609" s="51"/>
    </row>
    <row r="610" spans="1:1" ht="13.5" customHeight="1" x14ac:dyDescent="0.25">
      <c r="A610" s="51"/>
    </row>
    <row r="611" spans="1:1" ht="13.5" customHeight="1" x14ac:dyDescent="0.25">
      <c r="A611" s="51"/>
    </row>
    <row r="612" spans="1:1" ht="13.5" customHeight="1" x14ac:dyDescent="0.25">
      <c r="A612" s="51"/>
    </row>
    <row r="613" spans="1:1" ht="13.5" customHeight="1" x14ac:dyDescent="0.25">
      <c r="A613" s="51"/>
    </row>
    <row r="614" spans="1:1" ht="13.5" customHeight="1" x14ac:dyDescent="0.25">
      <c r="A614" s="51"/>
    </row>
    <row r="615" spans="1:1" ht="13.5" customHeight="1" x14ac:dyDescent="0.25">
      <c r="A615" s="51"/>
    </row>
    <row r="616" spans="1:1" ht="13.5" customHeight="1" x14ac:dyDescent="0.25">
      <c r="A616" s="51"/>
    </row>
    <row r="617" spans="1:1" ht="13.5" customHeight="1" x14ac:dyDescent="0.25">
      <c r="A617" s="51"/>
    </row>
    <row r="618" spans="1:1" ht="13.5" customHeight="1" x14ac:dyDescent="0.25">
      <c r="A618" s="51"/>
    </row>
    <row r="619" spans="1:1" ht="13.5" customHeight="1" x14ac:dyDescent="0.25">
      <c r="A619" s="51"/>
    </row>
    <row r="620" spans="1:1" ht="13.5" customHeight="1" x14ac:dyDescent="0.25">
      <c r="A620" s="51"/>
    </row>
    <row r="621" spans="1:1" ht="13.5" customHeight="1" x14ac:dyDescent="0.25">
      <c r="A621" s="51"/>
    </row>
    <row r="622" spans="1:1" ht="13.5" customHeight="1" x14ac:dyDescent="0.25">
      <c r="A622" s="51"/>
    </row>
    <row r="623" spans="1:1" ht="13.5" customHeight="1" x14ac:dyDescent="0.25">
      <c r="A623" s="51"/>
    </row>
    <row r="624" spans="1:1" ht="13.5" customHeight="1" x14ac:dyDescent="0.25">
      <c r="A624" s="51"/>
    </row>
    <row r="625" spans="1:1" ht="13.5" customHeight="1" x14ac:dyDescent="0.25">
      <c r="A625" s="51"/>
    </row>
    <row r="626" spans="1:1" ht="13.5" customHeight="1" x14ac:dyDescent="0.25">
      <c r="A626" s="51"/>
    </row>
    <row r="627" spans="1:1" ht="13.5" customHeight="1" x14ac:dyDescent="0.25">
      <c r="A627" s="51"/>
    </row>
    <row r="628" spans="1:1" ht="13.5" customHeight="1" x14ac:dyDescent="0.25">
      <c r="A628" s="51"/>
    </row>
    <row r="629" spans="1:1" ht="13.5" customHeight="1" x14ac:dyDescent="0.25">
      <c r="A629" s="51"/>
    </row>
    <row r="630" spans="1:1" ht="13.5" customHeight="1" x14ac:dyDescent="0.25">
      <c r="A630" s="51"/>
    </row>
    <row r="631" spans="1:1" ht="13.5" customHeight="1" x14ac:dyDescent="0.25">
      <c r="A631" s="51"/>
    </row>
    <row r="632" spans="1:1" ht="13.5" customHeight="1" x14ac:dyDescent="0.25">
      <c r="A632" s="51"/>
    </row>
    <row r="633" spans="1:1" ht="13.5" customHeight="1" x14ac:dyDescent="0.25">
      <c r="A633" s="51"/>
    </row>
    <row r="634" spans="1:1" ht="13.5" customHeight="1" x14ac:dyDescent="0.25">
      <c r="A634" s="51"/>
    </row>
    <row r="635" spans="1:1" ht="13.5" customHeight="1" x14ac:dyDescent="0.25">
      <c r="A635" s="51"/>
    </row>
    <row r="636" spans="1:1" ht="13.5" customHeight="1" x14ac:dyDescent="0.25">
      <c r="A636" s="51"/>
    </row>
    <row r="637" spans="1:1" ht="13.5" customHeight="1" x14ac:dyDescent="0.25">
      <c r="A637" s="51"/>
    </row>
    <row r="638" spans="1:1" ht="13.5" customHeight="1" x14ac:dyDescent="0.25">
      <c r="A638" s="51"/>
    </row>
    <row r="639" spans="1:1" ht="13.5" customHeight="1" x14ac:dyDescent="0.25">
      <c r="A639" s="51"/>
    </row>
    <row r="640" spans="1:1" ht="13.5" customHeight="1" x14ac:dyDescent="0.25">
      <c r="A640" s="51"/>
    </row>
    <row r="641" spans="1:1" ht="13.5" customHeight="1" x14ac:dyDescent="0.25">
      <c r="A641" s="51"/>
    </row>
    <row r="642" spans="1:1" ht="13.5" customHeight="1" x14ac:dyDescent="0.25">
      <c r="A642" s="51"/>
    </row>
    <row r="643" spans="1:1" ht="13.5" customHeight="1" x14ac:dyDescent="0.25">
      <c r="A643" s="51"/>
    </row>
    <row r="644" spans="1:1" ht="13.5" customHeight="1" x14ac:dyDescent="0.25">
      <c r="A644" s="51"/>
    </row>
    <row r="645" spans="1:1" ht="13.5" customHeight="1" x14ac:dyDescent="0.25">
      <c r="A645" s="51"/>
    </row>
    <row r="646" spans="1:1" ht="13.5" customHeight="1" x14ac:dyDescent="0.25">
      <c r="A646" s="51"/>
    </row>
    <row r="647" spans="1:1" ht="13.5" customHeight="1" x14ac:dyDescent="0.25">
      <c r="A647" s="51"/>
    </row>
    <row r="648" spans="1:1" ht="13.5" customHeight="1" x14ac:dyDescent="0.25">
      <c r="A648" s="51"/>
    </row>
    <row r="649" spans="1:1" ht="13.5" customHeight="1" x14ac:dyDescent="0.25">
      <c r="A649" s="51"/>
    </row>
    <row r="650" spans="1:1" ht="13.5" customHeight="1" x14ac:dyDescent="0.25">
      <c r="A650" s="51"/>
    </row>
    <row r="651" spans="1:1" ht="13.5" customHeight="1" x14ac:dyDescent="0.25">
      <c r="A651" s="51"/>
    </row>
    <row r="652" spans="1:1" ht="13.5" customHeight="1" x14ac:dyDescent="0.25">
      <c r="A652" s="51"/>
    </row>
    <row r="653" spans="1:1" ht="13.5" customHeight="1" x14ac:dyDescent="0.25">
      <c r="A653" s="51"/>
    </row>
    <row r="654" spans="1:1" ht="13.5" customHeight="1" x14ac:dyDescent="0.25">
      <c r="A654" s="51"/>
    </row>
    <row r="655" spans="1:1" ht="13.5" customHeight="1" x14ac:dyDescent="0.25">
      <c r="A655" s="51"/>
    </row>
    <row r="656" spans="1:1" ht="13.5" customHeight="1" x14ac:dyDescent="0.25">
      <c r="A656" s="51"/>
    </row>
    <row r="657" spans="1:1" ht="13.5" customHeight="1" x14ac:dyDescent="0.25">
      <c r="A657" s="51"/>
    </row>
    <row r="658" spans="1:1" ht="13.5" customHeight="1" x14ac:dyDescent="0.25">
      <c r="A658" s="51"/>
    </row>
    <row r="659" spans="1:1" ht="13.5" customHeight="1" x14ac:dyDescent="0.25">
      <c r="A659" s="51"/>
    </row>
    <row r="660" spans="1:1" ht="13.5" customHeight="1" x14ac:dyDescent="0.25">
      <c r="A660" s="51"/>
    </row>
    <row r="661" spans="1:1" ht="13.5" customHeight="1" x14ac:dyDescent="0.25">
      <c r="A661" s="51"/>
    </row>
    <row r="662" spans="1:1" ht="13.5" customHeight="1" x14ac:dyDescent="0.25">
      <c r="A662" s="51"/>
    </row>
    <row r="663" spans="1:1" ht="13.5" customHeight="1" x14ac:dyDescent="0.25">
      <c r="A663" s="51"/>
    </row>
    <row r="664" spans="1:1" ht="13.5" customHeight="1" x14ac:dyDescent="0.25">
      <c r="A664" s="51"/>
    </row>
    <row r="665" spans="1:1" ht="13.5" customHeight="1" x14ac:dyDescent="0.25">
      <c r="A665" s="51"/>
    </row>
    <row r="666" spans="1:1" ht="13.5" customHeight="1" x14ac:dyDescent="0.25">
      <c r="A666" s="51"/>
    </row>
    <row r="667" spans="1:1" ht="13.5" customHeight="1" x14ac:dyDescent="0.25">
      <c r="A667" s="51"/>
    </row>
    <row r="668" spans="1:1" ht="13.5" customHeight="1" x14ac:dyDescent="0.25">
      <c r="A668" s="51"/>
    </row>
    <row r="669" spans="1:1" ht="13.5" customHeight="1" x14ac:dyDescent="0.25">
      <c r="A669" s="51"/>
    </row>
    <row r="670" spans="1:1" ht="13.5" customHeight="1" x14ac:dyDescent="0.25">
      <c r="A670" s="51"/>
    </row>
    <row r="671" spans="1:1" ht="13.5" customHeight="1" x14ac:dyDescent="0.25">
      <c r="A671" s="51"/>
    </row>
    <row r="672" spans="1:1" ht="13.5" customHeight="1" x14ac:dyDescent="0.25">
      <c r="A672" s="51"/>
    </row>
    <row r="673" spans="1:1" ht="13.5" customHeight="1" x14ac:dyDescent="0.25">
      <c r="A673" s="51"/>
    </row>
    <row r="674" spans="1:1" ht="13.5" customHeight="1" x14ac:dyDescent="0.25">
      <c r="A674" s="51"/>
    </row>
    <row r="675" spans="1:1" ht="13.5" customHeight="1" x14ac:dyDescent="0.25">
      <c r="A675" s="51"/>
    </row>
    <row r="676" spans="1:1" ht="13.5" customHeight="1" x14ac:dyDescent="0.25">
      <c r="A676" s="51"/>
    </row>
    <row r="677" spans="1:1" ht="13.5" customHeight="1" x14ac:dyDescent="0.25">
      <c r="A677" s="51"/>
    </row>
    <row r="678" spans="1:1" ht="13.5" customHeight="1" x14ac:dyDescent="0.25">
      <c r="A678" s="51"/>
    </row>
    <row r="679" spans="1:1" ht="13.5" customHeight="1" x14ac:dyDescent="0.25">
      <c r="A679" s="51"/>
    </row>
    <row r="680" spans="1:1" ht="13.5" customHeight="1" x14ac:dyDescent="0.25">
      <c r="A680" s="51"/>
    </row>
    <row r="681" spans="1:1" ht="13.5" customHeight="1" x14ac:dyDescent="0.25">
      <c r="A681" s="51"/>
    </row>
    <row r="682" spans="1:1" ht="13.5" customHeight="1" x14ac:dyDescent="0.25">
      <c r="A682" s="51"/>
    </row>
    <row r="683" spans="1:1" ht="13.5" customHeight="1" x14ac:dyDescent="0.25">
      <c r="A683" s="51"/>
    </row>
    <row r="684" spans="1:1" ht="13.5" customHeight="1" x14ac:dyDescent="0.25">
      <c r="A684" s="51"/>
    </row>
    <row r="685" spans="1:1" ht="13.5" customHeight="1" x14ac:dyDescent="0.25">
      <c r="A685" s="51"/>
    </row>
    <row r="686" spans="1:1" ht="13.5" customHeight="1" x14ac:dyDescent="0.25">
      <c r="A686" s="51"/>
    </row>
    <row r="687" spans="1:1" ht="13.5" customHeight="1" x14ac:dyDescent="0.25">
      <c r="A687" s="51"/>
    </row>
    <row r="688" spans="1:1" ht="13.5" customHeight="1" x14ac:dyDescent="0.25">
      <c r="A688" s="51"/>
    </row>
    <row r="689" spans="1:1" ht="13.5" customHeight="1" x14ac:dyDescent="0.25">
      <c r="A689" s="51"/>
    </row>
    <row r="690" spans="1:1" ht="13.5" customHeight="1" x14ac:dyDescent="0.25">
      <c r="A690" s="51"/>
    </row>
    <row r="691" spans="1:1" ht="13.5" customHeight="1" x14ac:dyDescent="0.25">
      <c r="A691" s="51"/>
    </row>
    <row r="692" spans="1:1" ht="13.5" customHeight="1" x14ac:dyDescent="0.25">
      <c r="A692" s="51"/>
    </row>
    <row r="693" spans="1:1" ht="13.5" customHeight="1" x14ac:dyDescent="0.25">
      <c r="A693" s="51"/>
    </row>
    <row r="694" spans="1:1" ht="13.5" customHeight="1" x14ac:dyDescent="0.25">
      <c r="A694" s="51"/>
    </row>
    <row r="695" spans="1:1" ht="13.5" customHeight="1" x14ac:dyDescent="0.25">
      <c r="A695" s="51"/>
    </row>
    <row r="696" spans="1:1" ht="13.5" customHeight="1" x14ac:dyDescent="0.25">
      <c r="A696" s="51"/>
    </row>
    <row r="697" spans="1:1" ht="13.5" customHeight="1" x14ac:dyDescent="0.25">
      <c r="A697" s="51"/>
    </row>
    <row r="698" spans="1:1" ht="13.5" customHeight="1" x14ac:dyDescent="0.25">
      <c r="A698" s="51"/>
    </row>
    <row r="699" spans="1:1" ht="13.5" customHeight="1" x14ac:dyDescent="0.25">
      <c r="A699" s="51"/>
    </row>
    <row r="700" spans="1:1" ht="13.5" customHeight="1" x14ac:dyDescent="0.25">
      <c r="A700" s="51"/>
    </row>
    <row r="701" spans="1:1" ht="13.5" customHeight="1" x14ac:dyDescent="0.25">
      <c r="A701" s="51"/>
    </row>
    <row r="702" spans="1:1" ht="13.5" customHeight="1" x14ac:dyDescent="0.25">
      <c r="A702" s="51"/>
    </row>
    <row r="703" spans="1:1" ht="13.5" customHeight="1" x14ac:dyDescent="0.25">
      <c r="A703" s="51"/>
    </row>
    <row r="704" spans="1:1" ht="13.5" customHeight="1" x14ac:dyDescent="0.25">
      <c r="A704" s="51"/>
    </row>
    <row r="705" spans="1:1" ht="13.5" customHeight="1" x14ac:dyDescent="0.25">
      <c r="A705" s="51"/>
    </row>
    <row r="706" spans="1:1" ht="13.5" customHeight="1" x14ac:dyDescent="0.25">
      <c r="A706" s="51"/>
    </row>
    <row r="707" spans="1:1" ht="13.5" customHeight="1" x14ac:dyDescent="0.25">
      <c r="A707" s="51"/>
    </row>
    <row r="708" spans="1:1" ht="13.5" customHeight="1" x14ac:dyDescent="0.25">
      <c r="A708" s="51"/>
    </row>
    <row r="709" spans="1:1" ht="13.5" customHeight="1" x14ac:dyDescent="0.25">
      <c r="A709" s="51"/>
    </row>
    <row r="710" spans="1:1" ht="13.5" customHeight="1" x14ac:dyDescent="0.25">
      <c r="A710" s="51"/>
    </row>
    <row r="711" spans="1:1" ht="13.5" customHeight="1" x14ac:dyDescent="0.25">
      <c r="A711" s="51"/>
    </row>
    <row r="712" spans="1:1" ht="13.5" customHeight="1" x14ac:dyDescent="0.25">
      <c r="A712" s="51"/>
    </row>
    <row r="713" spans="1:1" ht="13.5" customHeight="1" x14ac:dyDescent="0.25">
      <c r="A713" s="51"/>
    </row>
    <row r="714" spans="1:1" ht="13.5" customHeight="1" x14ac:dyDescent="0.25">
      <c r="A714" s="51"/>
    </row>
    <row r="715" spans="1:1" ht="15" customHeight="1" x14ac:dyDescent="0.25">
      <c r="A715" s="51"/>
    </row>
    <row r="716" spans="1:1" ht="15" customHeight="1" x14ac:dyDescent="0.25">
      <c r="A716" s="51"/>
    </row>
    <row r="717" spans="1:1" ht="15" customHeight="1" x14ac:dyDescent="0.25">
      <c r="A717" s="51"/>
    </row>
    <row r="718" spans="1:1" x14ac:dyDescent="0.25">
      <c r="A718" s="51"/>
    </row>
    <row r="719" spans="1:1" x14ac:dyDescent="0.25">
      <c r="A719" s="51"/>
    </row>
    <row r="720" spans="1:1" x14ac:dyDescent="0.25">
      <c r="A720" s="51"/>
    </row>
    <row r="721" spans="1:1" x14ac:dyDescent="0.25">
      <c r="A721" s="51"/>
    </row>
    <row r="722" spans="1:1" x14ac:dyDescent="0.25">
      <c r="A722" s="51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Dashboard</vt:lpstr>
      <vt:lpstr>Gestão</vt:lpstr>
      <vt:lpstr>Banner</vt:lpstr>
      <vt:lpstr>Histórico</vt:lpstr>
      <vt:lpstr>Referências</vt:lpstr>
      <vt:lpstr>VBA_Código</vt:lpstr>
      <vt:lpstr>Banner!Área_de_Impressão</vt:lpstr>
      <vt:lpstr>Dashboard!Área_de_Impressão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Farmácia Matias de Magalhães</cp:lastModifiedBy>
  <cp:revision>0</cp:revision>
  <cp:lastPrinted>2026-09-02T11:54:51Z</cp:lastPrinted>
  <dcterms:created xsi:type="dcterms:W3CDTF">2026-06-09T17:14:13Z</dcterms:created>
  <dcterms:modified xsi:type="dcterms:W3CDTF">2026-09-22T19:02:35Z</dcterms:modified>
  <dc:language>en-US</dc:language>
</cp:coreProperties>
</file>